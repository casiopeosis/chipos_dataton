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d49d25518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2020" sheetId="1" r:id="Raf3b8735989148fe"/>
    <x:sheet xmlns:r="http://schemas.openxmlformats.org/officeDocument/2006/relationships" name="Por alcaldía" sheetId="2" r:id="R058f4b0504934e54"/>
    <x:sheet xmlns:r="http://schemas.openxmlformats.org/officeDocument/2006/relationships" name="Base alcaldía" sheetId="3" r:id="R9b3b1de6547b4203"/>
    <x:sheet xmlns:r="http://schemas.openxmlformats.org/officeDocument/2006/relationships" name="Base localidad" sheetId="4" r:id="Rf404982d7dbd40c1"/>
    <x:sheet xmlns:r="http://schemas.openxmlformats.org/officeDocument/2006/relationships" name="Método" sheetId="5" r:id="R22d1fb9e088146d5"/>
    <x:sheet xmlns:r="http://schemas.openxmlformats.org/officeDocument/2006/relationships" name="Diccionario" sheetId="6" r:id="Rf0c205249c8f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19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18324A"/>
      <x:name val="Arial"/>
    </x:font>
    <x:font>
      <x:i/>
      <x:sz val="10"/>
      <x:color rgb="FF3E4A55"/>
      <x:name val="Arial"/>
    </x:font>
    <x:font>
      <x:b/>
      <x:sz val="10"/>
      <x:color rgb="FF18324A"/>
      <x:name val="Arial"/>
    </x:font>
    <x:font>
      <x:b/>
      <x:sz val="12"/>
      <x:color rgb="FF18324A"/>
      <x:name val="Arial"/>
    </x:font>
    <x:font>
      <x:b/>
      <x:sz val="10"/>
      <x:color rgb="FF3A7D44"/>
      <x:name val="Arial"/>
    </x:font>
    <x:font>
      <x:sz val="10"/>
      <x:color rgb="FF7A4B00"/>
      <x:name val="Arial"/>
    </x:font>
    <x:font>
      <x:sz val="10"/>
      <x:color rgb="FF3E4A55"/>
      <x:name val="Arial"/>
    </x:font>
    <x:font>
      <x:b/>
      <x:sz val="10"/>
      <x:color rgb="FF263238"/>
      <x:name val="Arial"/>
    </x:font>
    <x:font>
      <x:sz val="10"/>
      <x:color rgb="FF263238"/>
      <x:name val="Arial"/>
    </x:font>
    <x:font>
      <x:i/>
      <x:sz val="10"/>
      <x:color rgb="FF263238"/>
      <x:name val="Arial"/>
    </x:font>
    <x:font>
      <x:b/>
      <x:sz val="14"/>
      <x:color rgb="FF17324D"/>
      <x:name val="Arial"/>
    </x:font>
    <x:font>
      <x:i/>
      <x:sz val="10"/>
      <x:color rgb="FF5F6B73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0"/>
      <x:color rgb="FF263238"/>
      <x:name val="Arial"/>
    </x:font>
    <x:font>
      <x:b/>
      <x:sz val="10"/>
      <x:color rgb="FF4D8B57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4EA"/>
      </x:patternFill>
    </x:fill>
    <x:fill>
      <x:patternFill patternType="solid">
        <x:fgColor rgb="FFF9E7B3"/>
      </x:patternFill>
    </x:fill>
    <x:fill>
      <x:patternFill patternType="solid">
        <x:fgColor rgb="FF2F6690"/>
      </x:patternFill>
    </x:fill>
    <x:fill>
      <x:patternFill patternType="solid">
        <x:fgColor rgb="FFEEF1F4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E8F3E8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  <x:fill>
      <x:patternFill patternType="solid">
        <x:fgColor rgb="FF2E6F95"/>
      </x:patternFill>
    </x:fill>
  </x:fills>
  <x:borders count="33">
    <x:border/>
    <x:border>
      <x:bottom style="thin">
        <x:color rgb="FF2F6690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top style="thin">
        <x:color rgb="FFC7D0D9"/>
      </x:top>
      <x:bottom style="thin">
        <x:color rgb="FFC7D0D9"/>
      </x:bottom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  <x:right style="thin">
        <x:color rgb="FFC7D0D9"/>
      </x:right>
      <x:top style="thin">
        <x:color rgb="FFC7D0D9"/>
      </x:top>
    </x:border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  <x:bottom style="double">
        <x:color rgb="FF3A7D44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double">
        <x:color rgb="FF3A7D44"/>
      </x:bottom>
    </x:border>
    <x:border>
      <x:bottom style="thin">
        <x:color rgb="FFE3E8ED"/>
      </x:bottom>
    </x:border>
    <x:border>
      <x:top style="thin">
        <x:color rgb="FFE3E8ED"/>
      </x:top>
      <x:bottom style="thin">
        <x:color rgb="FFE3E8ED"/>
      </x:bottom>
    </x:border>
    <x:border>
      <x:top style="thin">
        <x:color rgb="FFE3E8ED"/>
      </x:top>
    </x:border>
    <x:border>
      <x:bottom style="double">
        <x:color rgb="FF3A7D44"/>
      </x:bottom>
    </x:border>
    <x:border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  <x:border>
      <x:top style="thin">
        <x:color rgb="FFC7D0D9"/>
      </x:top>
    </x:border>
    <x:border>
      <x:left style="thin">
        <x:color rgb="FFB8CAD8"/>
      </x:left>
      <x:right style="thin">
        <x:color rgb="FFB8CAD8"/>
      </x:right>
      <x:top style="thin">
        <x:color rgb="FFB8CAD8"/>
      </x:top>
      <x:bottom style="thin">
        <x:color rgb="FFB8CAD8"/>
      </x:bottom>
    </x:border>
    <x:border>
      <x:right style="thin">
        <x:color rgb="FFC7D0D9"/>
      </x:right>
      <x:bottom style="thin">
        <x:color rgb="FFD6DEE5"/>
      </x:bottom>
    </x:border>
    <x:border>
      <x:left style="thin">
        <x:color rgb="FFC7D0D9"/>
      </x:left>
      <x:right style="thin">
        <x:color rgb="FFC7D0D9"/>
      </x:right>
      <x:bottom style="thin">
        <x:color rgb="FFD6DEE5"/>
      </x:bottom>
    </x:border>
    <x:border>
      <x:left style="thin">
        <x:color rgb="FFC7D0D9"/>
      </x:left>
      <x:bottom style="thin">
        <x:color rgb="FFD6DEE5"/>
      </x:bottom>
    </x:border>
    <x:border>
      <x:right style="thin">
        <x:color rgb="FFC7D0D9"/>
      </x:right>
      <x:top style="thin">
        <x:color rgb="FFD6DEE5"/>
      </x:top>
      <x:bottom style="thin">
        <x:color rgb="FFD6DEE5"/>
      </x:bottom>
    </x:border>
    <x:border>
      <x:left style="thin">
        <x:color rgb="FFC7D0D9"/>
      </x:left>
      <x:right style="thin">
        <x:color rgb="FFC7D0D9"/>
      </x:right>
      <x:top style="thin">
        <x:color rgb="FFD6DEE5"/>
      </x:top>
      <x:bottom style="thin">
        <x:color rgb="FFD6DEE5"/>
      </x:bottom>
    </x:border>
    <x:border>
      <x:left style="thin">
        <x:color rgb="FFC7D0D9"/>
      </x:left>
      <x:top style="thin">
        <x:color rgb="FFD6DEE5"/>
      </x:top>
      <x:bottom style="thin">
        <x:color rgb="FFD6DEE5"/>
      </x:bottom>
    </x:border>
    <x:border>
      <x:bottom style="medium">
        <x:color rgb="FF4D8B57"/>
      </x:bottom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E3E8ED"/>
      </x:bottom>
    </x:border>
    <x:border>
      <x:top style="thin">
        <x:color rgb="FFD6DEE5"/>
      </x:top>
    </x:border>
  </x:borders>
  <x:cellStyleXfs count="1">
    <x:xf numFmtId="0" fontId="0" fillId="0" borderId="0"/>
  </x:cellStyleXfs>
  <x:cellXfs count="31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200" fontId="6" fillId="4" borderId="2" xfId="0" applyNumberFormat="1" applyFont="1" applyFill="1" applyBorder="1"/>
    <x:xf numFmtId="200" fontId="5" fillId="3" borderId="2" xfId="0" applyNumberFormat="1" applyFont="1" applyFill="1" applyBorder="1"/>
    <x:xf numFmtId="201" fontId="6" fillId="4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2" xfId="0" applyNumberFormat="1" applyFont="1" applyFill="1" applyBorder="1"/>
    <x:xf numFmtId="200" fontId="7" fillId="5" borderId="13" xfId="0" applyNumberFormat="1" applyFont="1" applyFill="1" applyBorder="1"/>
    <x:xf numFmtId="201" fontId="0" fillId="0" borderId="5" xfId="0" applyNumberFormat="1" applyFont="1" applyFill="1" applyBorder="1"/>
    <x:xf numFmtId="201" fontId="0" fillId="0" borderId="2" xfId="0" applyNumberFormat="1" applyFont="1" applyFill="1" applyBorder="1"/>
    <x:xf numFmtId="201" fontId="7" fillId="5" borderId="1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horizontal="center"/>
    </x:xf>
    <x:xf numFmtId="0" fontId="1" fillId="7" borderId="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5" fillId="0" borderId="0" xfId="0" applyNumberFormat="1" applyFont="1" applyFill="1" applyBorder="1"/>
    <x:xf numFmtId="0" fontId="2" fillId="0" borderId="1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2" fillId="0" borderId="4" xfId="0" applyNumberFormat="1" applyFont="1" applyFill="1" applyBorder="1"/>
    <x:xf numFmtId="200" fontId="2" fillId="0" borderId="5" xfId="0" applyNumberFormat="1" applyFont="1" applyFill="1" applyBorder="1"/>
    <x:xf numFmtId="201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  <x:xf numFmtId="0" fontId="2" fillId="0" borderId="8" xfId="0" applyNumberFormat="1" applyFont="1" applyFill="1" applyBorder="1"/>
    <x:xf numFmtId="0" fontId="2" fillId="0" borderId="14" xfId="0" applyNumberFormat="1" applyFont="1" applyFill="1" applyBorder="1"/>
    <x:xf numFmtId="200" fontId="2" fillId="0" borderId="14" xfId="0" applyNumberFormat="1" applyFont="1" applyFill="1" applyBorder="1"/>
    <x:xf numFmtId="201" fontId="2" fillId="0" borderId="14" xfId="0" applyNumberFormat="1" applyFont="1" applyFill="1" applyBorder="1"/>
    <x:xf numFmtId="0" fontId="2" fillId="0" borderId="15" xfId="0" applyNumberFormat="1" applyFont="1" applyFill="1" applyBorder="1"/>
    <x:xf numFmtId="200" fontId="2" fillId="0" borderId="15" xfId="0" applyNumberFormat="1" applyFont="1" applyFill="1" applyBorder="1"/>
    <x:xf numFmtId="201" fontId="2" fillId="0" borderId="15" xfId="0" applyNumberFormat="1" applyFont="1" applyFill="1" applyBorder="1"/>
    <x:xf numFmtId="0" fontId="2" fillId="0" borderId="16" xfId="0" applyNumberFormat="1" applyFont="1" applyFill="1" applyBorder="1"/>
    <x:xf numFmtId="200" fontId="2" fillId="0" borderId="16" xfId="0" applyNumberFormat="1" applyFont="1" applyFill="1" applyBorder="1"/>
    <x:xf numFmtId="201" fontId="2" fillId="0" borderId="16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7" xfId="0" applyNumberFormat="1" applyFont="1" applyFill="1" applyBorder="1"/>
    <x:xf numFmtId="200" fontId="7" fillId="5" borderId="17" xfId="0" applyNumberFormat="1" applyFont="1" applyFill="1" applyBorder="1"/>
    <x:xf numFmtId="201" fontId="7" fillId="5" borderId="17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18" xfId="0" applyNumberFormat="1" applyFont="1" applyFill="1" applyBorder="1"/>
    <x:xf numFmtId="200" fontId="2" fillId="0" borderId="18" xfId="0" applyNumberFormat="1" applyFont="1" applyFill="1" applyBorder="1"/>
    <x:xf numFmtId="0" fontId="2" fillId="0" borderId="19" xfId="0" applyNumberFormat="1" applyFont="1" applyFill="1" applyBorder="1" applyAlignment="1">
      <x:alignment wrapText="1"/>
    </x:xf>
    <x:xf numFmtId="0" fontId="2" fillId="0" borderId="19" xfId="0" applyNumberFormat="1" applyFont="1" applyFill="1" applyBorder="1"/>
    <x:xf numFmtId="200" fontId="2" fillId="0" borderId="19" xfId="0" applyNumberFormat="1" applyFont="1" applyFill="1" applyBorder="1"/>
    <x:xf numFmtId="0" fontId="2" fillId="0" borderId="20" xfId="0" applyNumberFormat="1" applyFont="1" applyFill="1" applyBorder="1"/>
    <x:xf numFmtId="200" fontId="2" fillId="0" borderId="20" xfId="0" applyNumberFormat="1" applyFont="1" applyFill="1" applyBorder="1"/>
    <x:xf numFmtId="0" fontId="2" fillId="0" borderId="2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1" xfId="0" applyNumberFormat="1" applyFont="1" applyFill="1" applyBorder="1"/>
    <x:xf numFmtId="0" fontId="10" fillId="3" borderId="2" xfId="0" applyNumberFormat="1" applyFont="1" applyFill="1" applyBorder="1"/>
    <x:xf numFmtId="200" fontId="10" fillId="4" borderId="2" xfId="0" applyNumberFormat="1" applyFont="1" applyFill="1" applyBorder="1"/>
    <x:xf numFmtId="200" fontId="11" fillId="0" borderId="0" xfId="0" applyNumberFormat="1" applyFont="1" applyFill="1" applyBorder="1"/>
    <x:xf numFmtId="200" fontId="10" fillId="3" borderId="2" xfId="0" applyNumberFormat="1" applyFont="1" applyFill="1" applyBorder="1"/>
    <x:xf numFmtId="201" fontId="10" fillId="4" borderId="2" xfId="0" applyNumberFormat="1" applyFont="1" applyFill="1" applyBorder="1"/>
    <x:xf numFmtId="0" fontId="10" fillId="2" borderId="3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/>
    </x:xf>
    <x:xf numFmtId="0" fontId="11" fillId="0" borderId="4" xfId="0" applyNumberFormat="1" applyFont="1" applyFill="1" applyBorder="1"/>
    <x:xf numFmtId="200" fontId="11" fillId="0" borderId="5" xfId="0" applyNumberFormat="1" applyFont="1" applyFill="1" applyBorder="1"/>
    <x:xf numFmtId="201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0" fillId="3" borderId="4" xfId="0" applyNumberFormat="1" applyFont="1" applyFill="1" applyBorder="1" applyAlignment="1">
      <x:alignment wrapText="1"/>
    </x:xf>
    <x:xf numFmtId="0" fontId="11" fillId="6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/>
    <x:xf numFmtId="200" fontId="11" fillId="0" borderId="2" xfId="0" applyNumberFormat="1" applyFont="1" applyFill="1" applyBorder="1"/>
    <x:xf numFmtId="201" fontId="11" fillId="0" borderId="2" xfId="0" applyNumberFormat="1" applyFont="1" applyFill="1" applyBorder="1"/>
    <x:xf numFmtId="0" fontId="11" fillId="0" borderId="8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wrapText="1"/>
    </x:xf>
    <x:xf numFmtId="0" fontId="11" fillId="4" borderId="8" xfId="0" applyNumberFormat="1" applyFont="1" applyFill="1" applyBorder="1" applyAlignment="1">
      <x:alignment wrapText="1"/>
    </x:xf>
    <x:xf numFmtId="0" fontId="10" fillId="5" borderId="12" xfId="0" applyNumberFormat="1" applyFont="1" applyFill="1" applyBorder="1"/>
    <x:xf numFmtId="200" fontId="10" fillId="5" borderId="13" xfId="0" applyNumberFormat="1" applyFont="1" applyFill="1" applyBorder="1"/>
    <x:xf numFmtId="201" fontId="10" fillId="5" borderId="13" xfId="0" applyNumberFormat="1" applyFont="1" applyFill="1" applyBorder="1"/>
    <x:xf numFmtId="0" fontId="10" fillId="5" borderId="13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1" fillId="4" borderId="1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0" fillId="9" borderId="2" xfId="0" applyNumberFormat="1" applyFont="1" applyFill="1" applyBorder="1"/>
    <x:xf numFmtId="0" fontId="15" fillId="9" borderId="2" xfId="0" applyNumberFormat="1" applyFont="1" applyFill="1" applyBorder="1"/>
    <x:xf numFmtId="0" fontId="15" fillId="9" borderId="21" xfId="0" applyNumberFormat="1" applyFont="1" applyFill="1" applyBorder="1"/>
    <x:xf numFmtId="200" fontId="10" fillId="9" borderId="2" xfId="0" applyNumberFormat="1" applyFont="1" applyFill="1" applyBorder="1"/>
    <x:xf numFmtId="200" fontId="15" fillId="9" borderId="2" xfId="0" applyNumberFormat="1" applyFont="1" applyFill="1" applyBorder="1"/>
    <x:xf numFmtId="200" fontId="15" fillId="9" borderId="21" xfId="0" applyNumberFormat="1" applyFont="1" applyFill="1" applyBorder="1"/>
    <x:xf numFmtId="200" fontId="16" fillId="4" borderId="2" xfId="0" applyNumberFormat="1" applyFont="1" applyFill="1" applyBorder="1"/>
    <x:xf numFmtId="200" fontId="16" fillId="4" borderId="21" xfId="0" applyNumberFormat="1" applyFont="1" applyFill="1" applyBorder="1"/>
    <x:xf numFmtId="200" fontId="16" fillId="4" borderId="21" xfId="0" applyNumberFormat="1" applyFont="1" applyFill="1" applyBorder="1" applyAlignment="1">
      <x:alignment horizontal="right"/>
    </x:xf>
    <x:xf numFmtId="201" fontId="16" fillId="4" borderId="2" xfId="0" applyNumberFormat="1" applyFont="1" applyFill="1" applyBorder="1"/>
    <x:xf numFmtId="201" fontId="16" fillId="4" borderId="21" xfId="0" applyNumberFormat="1" applyFont="1" applyFill="1" applyBorder="1"/>
    <x:xf numFmtId="201" fontId="16" fillId="4" borderId="21" xfId="0" applyNumberFormat="1" applyFont="1" applyFill="1" applyBorder="1" applyAlignment="1">
      <x:alignment horizontal="right"/>
    </x:xf>
    <x:xf numFmtId="0" fontId="10" fillId="10" borderId="3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/>
    <x:xf numFmtId="0" fontId="1" fillId="10" borderId="3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1" fillId="11" borderId="4" xfId="0" applyNumberFormat="1" applyFont="1" applyFill="1" applyBorder="1"/>
    <x:xf numFmtId="200" fontId="11" fillId="11" borderId="5" xfId="0" applyNumberFormat="1" applyFont="1" applyFill="1" applyBorder="1"/>
    <x:xf numFmtId="201" fontId="11" fillId="11" borderId="5" xfId="0" applyNumberFormat="1" applyFont="1" applyFill="1" applyBorder="1"/>
    <x:xf numFmtId="0" fontId="11" fillId="11" borderId="6" xfId="0" applyNumberFormat="1" applyFont="1" applyFill="1" applyBorder="1"/>
    <x:xf numFmtId="0" fontId="11" fillId="11" borderId="0" xfId="0" applyNumberFormat="1" applyFont="1" applyFill="1" applyBorder="1"/>
    <x:xf numFmtId="0" fontId="11" fillId="11" borderId="7" xfId="0" applyNumberFormat="1" applyFont="1" applyFill="1" applyBorder="1"/>
    <x:xf numFmtId="200" fontId="11" fillId="11" borderId="2" xfId="0" applyNumberFormat="1" applyFont="1" applyFill="1" applyBorder="1"/>
    <x:xf numFmtId="201" fontId="11" fillId="11" borderId="2" xfId="0" applyNumberFormat="1" applyFont="1" applyFill="1" applyBorder="1"/>
    <x:xf numFmtId="0" fontId="11" fillId="11" borderId="8" xfId="0" applyNumberFormat="1" applyFont="1" applyFill="1" applyBorder="1"/>
    <x:xf numFmtId="0" fontId="10" fillId="11" borderId="12" xfId="0" applyNumberFormat="1" applyFont="1" applyFill="1" applyBorder="1"/>
    <x:xf numFmtId="200" fontId="10" fillId="11" borderId="13" xfId="0" applyNumberFormat="1" applyFont="1" applyFill="1" applyBorder="1"/>
    <x:xf numFmtId="201" fontId="10" fillId="11" borderId="13" xfId="0" applyNumberFormat="1" applyFont="1" applyFill="1" applyBorder="1"/>
    <x:xf numFmtId="0" fontId="10" fillId="11" borderId="13" xfId="0" applyNumberFormat="1" applyFont="1" applyFill="1" applyBorder="1"/>
    <x:xf numFmtId="0" fontId="17" fillId="11" borderId="4" xfId="0" applyNumberFormat="1" applyFont="1" applyFill="1" applyBorder="1"/>
    <x:xf numFmtId="200" fontId="17" fillId="11" borderId="5" xfId="0" applyNumberFormat="1" applyFont="1" applyFill="1" applyBorder="1"/>
    <x:xf numFmtId="201" fontId="17" fillId="11" borderId="5" xfId="0" applyNumberFormat="1" applyFont="1" applyFill="1" applyBorder="1"/>
    <x:xf numFmtId="0" fontId="17" fillId="11" borderId="6" xfId="0" applyNumberFormat="1" applyFont="1" applyFill="1" applyBorder="1"/>
    <x:xf numFmtId="0" fontId="17" fillId="11" borderId="0" xfId="0" applyNumberFormat="1" applyFont="1" applyFill="1" applyBorder="1"/>
    <x:xf numFmtId="0" fontId="17" fillId="11" borderId="7" xfId="0" applyNumberFormat="1" applyFont="1" applyFill="1" applyBorder="1"/>
    <x:xf numFmtId="200" fontId="17" fillId="11" borderId="2" xfId="0" applyNumberFormat="1" applyFont="1" applyFill="1" applyBorder="1"/>
    <x:xf numFmtId="201" fontId="17" fillId="11" borderId="2" xfId="0" applyNumberFormat="1" applyFont="1" applyFill="1" applyBorder="1"/>
    <x:xf numFmtId="0" fontId="17" fillId="11" borderId="8" xfId="0" applyNumberFormat="1" applyFont="1" applyFill="1" applyBorder="1"/>
    <x:xf numFmtId="0" fontId="17" fillId="11" borderId="12" xfId="0" applyNumberFormat="1" applyFont="1" applyFill="1" applyBorder="1"/>
    <x:xf numFmtId="200" fontId="17" fillId="11" borderId="13" xfId="0" applyNumberFormat="1" applyFont="1" applyFill="1" applyBorder="1"/>
    <x:xf numFmtId="201" fontId="17" fillId="11" borderId="13" xfId="0" applyNumberFormat="1" applyFont="1" applyFill="1" applyBorder="1"/>
    <x:xf numFmtId="0" fontId="17" fillId="11" borderId="13" xfId="0" applyNumberFormat="1" applyFont="1" applyFill="1" applyBorder="1"/>
    <x:xf numFmtId="0" fontId="17" fillId="11" borderId="22" xfId="0" applyNumberFormat="1" applyFont="1" applyFill="1" applyBorder="1"/>
    <x:xf numFmtId="200" fontId="17" fillId="11" borderId="23" xfId="0" applyNumberFormat="1" applyFont="1" applyFill="1" applyBorder="1"/>
    <x:xf numFmtId="201" fontId="17" fillId="11" borderId="23" xfId="0" applyNumberFormat="1" applyFont="1" applyFill="1" applyBorder="1"/>
    <x:xf numFmtId="0" fontId="17" fillId="11" borderId="24" xfId="0" applyNumberFormat="1" applyFont="1" applyFill="1" applyBorder="1"/>
    <x:xf numFmtId="0" fontId="17" fillId="11" borderId="25" xfId="0" applyNumberFormat="1" applyFont="1" applyFill="1" applyBorder="1"/>
    <x:xf numFmtId="200" fontId="17" fillId="11" borderId="26" xfId="0" applyNumberFormat="1" applyFont="1" applyFill="1" applyBorder="1"/>
    <x:xf numFmtId="201" fontId="17" fillId="11" borderId="26" xfId="0" applyNumberFormat="1" applyFont="1" applyFill="1" applyBorder="1"/>
    <x:xf numFmtId="0" fontId="17" fillId="11" borderId="27" xfId="0" applyNumberFormat="1" applyFont="1" applyFill="1" applyBorder="1"/>
    <x:xf numFmtId="0" fontId="17" fillId="11" borderId="26" xfId="0" applyNumberFormat="1" applyFont="1" applyFill="1" applyBorder="1"/>
    <x:xf numFmtId="0" fontId="11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28" xfId="0" applyNumberFormat="1" applyFont="1" applyFill="1" applyBorder="1"/>
    <x:xf numFmtId="200" fontId="18" fillId="12" borderId="28" xfId="0" applyNumberFormat="1" applyFont="1" applyFill="1" applyBorder="1"/>
    <x:xf numFmtId="201" fontId="18" fillId="12" borderId="28" xfId="0" applyNumberFormat="1" applyFont="1" applyFill="1" applyBorder="1"/>
    <x:xf numFmtId="200" fontId="17" fillId="11" borderId="24" xfId="0" applyNumberFormat="1" applyFont="1" applyFill="1" applyBorder="1"/>
    <x:xf numFmtId="200" fontId="17" fillId="11" borderId="22" xfId="0" applyNumberFormat="1" applyFont="1" applyFill="1" applyBorder="1"/>
    <x:xf numFmtId="200" fontId="17" fillId="11" borderId="27" xfId="0" applyNumberFormat="1" applyFont="1" applyFill="1" applyBorder="1"/>
    <x:xf numFmtId="200" fontId="17" fillId="11" borderId="25" xfId="0" applyNumberFormat="1" applyFont="1" applyFill="1" applyBorder="1"/>
    <x:xf numFmtId="200" fontId="17" fillId="11" borderId="23" xfId="0" applyNumberFormat="1" applyFont="1" applyFill="1" applyBorder="1" applyAlignment="1">
      <x:alignment horizontal="right"/>
    </x:xf>
    <x:xf numFmtId="201" fontId="17" fillId="11" borderId="23" xfId="0" applyNumberFormat="1" applyFont="1" applyFill="1" applyBorder="1" applyAlignment="1">
      <x:alignment horizontal="right"/>
    </x:xf>
    <x:xf numFmtId="200" fontId="17" fillId="11" borderId="24" xfId="0" applyNumberFormat="1" applyFont="1" applyFill="1" applyBorder="1" applyAlignment="1">
      <x:alignment horizontal="right"/>
    </x:xf>
    <x:xf numFmtId="200" fontId="17" fillId="11" borderId="22" xfId="0" applyNumberFormat="1" applyFont="1" applyFill="1" applyBorder="1" applyAlignment="1">
      <x:alignment horizontal="right"/>
    </x:xf>
    <x:xf numFmtId="200" fontId="17" fillId="11" borderId="26" xfId="0" applyNumberFormat="1" applyFont="1" applyFill="1" applyBorder="1" applyAlignment="1">
      <x:alignment horizontal="right"/>
    </x:xf>
    <x:xf numFmtId="201" fontId="17" fillId="11" borderId="26" xfId="0" applyNumberFormat="1" applyFont="1" applyFill="1" applyBorder="1" applyAlignment="1">
      <x:alignment horizontal="right"/>
    </x:xf>
    <x:xf numFmtId="200" fontId="17" fillId="11" borderId="27" xfId="0" applyNumberFormat="1" applyFont="1" applyFill="1" applyBorder="1" applyAlignment="1">
      <x:alignment horizontal="right"/>
    </x:xf>
    <x:xf numFmtId="200" fontId="17" fillId="11" borderId="25" xfId="0" applyNumberFormat="1" applyFont="1" applyFill="1" applyBorder="1" applyAlignment="1">
      <x:alignment horizontal="right"/>
    </x:xf>
    <x:xf numFmtId="200" fontId="18" fillId="12" borderId="28" xfId="0" applyNumberFormat="1" applyFont="1" applyFill="1" applyBorder="1" applyAlignment="1">
      <x:alignment horizontal="right"/>
    </x:xf>
    <x:xf numFmtId="201" fontId="18" fillId="12" borderId="28" xfId="0" applyNumberFormat="1" applyFont="1" applyFill="1" applyBorder="1" applyAlignment="1">
      <x:alignment horizontal="right"/>
    </x:xf>
    <x:xf numFmtId="0" fontId="10" fillId="10" borderId="3" xfId="0" applyNumberFormat="1" applyFont="1" applyFill="1" applyBorder="1" applyAlignment="1">
      <x:alignment horizontal="center"/>
    </x:xf>
    <x:xf numFmtId="0" fontId="1" fillId="10" borderId="3" xfId="0" applyNumberFormat="1" applyFont="1" applyFill="1" applyBorder="1" applyAlignment="1">
      <x:alignment horizontal="center"/>
    </x:xf>
    <x:xf numFmtId="0" fontId="11" fillId="9" borderId="6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5" fillId="9" borderId="6" xfId="0" applyNumberFormat="1" applyFont="1" applyFill="1" applyBorder="1" applyAlignment="1">
      <x:alignment wrapText="1"/>
    </x:xf>
    <x:xf numFmtId="0" fontId="15" fillId="9" borderId="8" xfId="0" applyNumberFormat="1" applyFont="1" applyFill="1" applyBorder="1" applyAlignment="1">
      <x:alignment wrapText="1"/>
    </x:xf>
    <x:xf numFmtId="0" fontId="15" fillId="9" borderId="11" xfId="0" applyNumberFormat="1" applyFont="1" applyFill="1" applyBorder="1" applyAlignment="1">
      <x:alignment wrapText="1"/>
    </x:xf>
    <x:xf numFmtId="0" fontId="15" fillId="9" borderId="6" xfId="0" applyNumberFormat="1" applyFont="1" applyFill="1" applyBorder="1" applyAlignment="1">
      <x:alignment vertical="center" wrapText="1"/>
    </x:xf>
    <x:xf numFmtId="0" fontId="15" fillId="9" borderId="8" xfId="0" applyNumberFormat="1" applyFont="1" applyFill="1" applyBorder="1" applyAlignment="1">
      <x:alignment vertical="center" wrapText="1"/>
    </x:xf>
    <x:xf numFmtId="0" fontId="15" fillId="9" borderId="1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1" fillId="0" borderId="14" xfId="0" applyNumberFormat="1" applyFont="1" applyFill="1" applyBorder="1"/>
    <x:xf numFmtId="200" fontId="11" fillId="0" borderId="14" xfId="0" applyNumberFormat="1" applyFont="1" applyFill="1" applyBorder="1"/>
    <x:xf numFmtId="201" fontId="11" fillId="0" borderId="14" xfId="0" applyNumberFormat="1" applyFont="1" applyFill="1" applyBorder="1"/>
    <x:xf numFmtId="0" fontId="11" fillId="8" borderId="14" xfId="0" applyNumberFormat="1" applyFont="1" applyFill="1" applyBorder="1"/>
    <x:xf numFmtId="0" fontId="11" fillId="0" borderId="15" xfId="0" applyNumberFormat="1" applyFont="1" applyFill="1" applyBorder="1"/>
    <x:xf numFmtId="200" fontId="11" fillId="0" borderId="15" xfId="0" applyNumberFormat="1" applyFont="1" applyFill="1" applyBorder="1"/>
    <x:xf numFmtId="201" fontId="11" fillId="0" borderId="15" xfId="0" applyNumberFormat="1" applyFont="1" applyFill="1" applyBorder="1"/>
    <x:xf numFmtId="0" fontId="11" fillId="8" borderId="15" xfId="0" applyNumberFormat="1" applyFont="1" applyFill="1" applyBorder="1"/>
    <x:xf numFmtId="0" fontId="11" fillId="0" borderId="16" xfId="0" applyNumberFormat="1" applyFont="1" applyFill="1" applyBorder="1"/>
    <x:xf numFmtId="200" fontId="11" fillId="0" borderId="16" xfId="0" applyNumberFormat="1" applyFont="1" applyFill="1" applyBorder="1"/>
    <x:xf numFmtId="201" fontId="11" fillId="0" borderId="16" xfId="0" applyNumberFormat="1" applyFont="1" applyFill="1" applyBorder="1"/>
    <x:xf numFmtId="0" fontId="11" fillId="8" borderId="16" xfId="0" applyNumberFormat="1" applyFont="1" applyFill="1" applyBorder="1"/>
    <x:xf numFmtId="0" fontId="10" fillId="5" borderId="17" xfId="0" applyNumberFormat="1" applyFont="1" applyFill="1" applyBorder="1"/>
    <x:xf numFmtId="200" fontId="10" fillId="5" borderId="17" xfId="0" applyNumberFormat="1" applyFont="1" applyFill="1" applyBorder="1"/>
    <x:xf numFmtId="201" fontId="10" fillId="5" borderId="17" xfId="0" applyNumberFormat="1" applyFont="1" applyFill="1" applyBorder="1"/>
    <x:xf numFmtId="0" fontId="11" fillId="0" borderId="29" xfId="0" applyNumberFormat="1" applyFont="1" applyFill="1" applyBorder="1"/>
    <x:xf numFmtId="200" fontId="11" fillId="0" borderId="29" xfId="0" applyNumberFormat="1" applyFont="1" applyFill="1" applyBorder="1"/>
    <x:xf numFmtId="201" fontId="11" fillId="0" borderId="29" xfId="0" applyNumberFormat="1" applyFont="1" applyFill="1" applyBorder="1"/>
    <x:xf numFmtId="0" fontId="11" fillId="8" borderId="29" xfId="0" applyNumberFormat="1" applyFont="1" applyFill="1" applyBorder="1"/>
    <x:xf numFmtId="0" fontId="11" fillId="0" borderId="30" xfId="0" applyNumberFormat="1" applyFont="1" applyFill="1" applyBorder="1"/>
    <x:xf numFmtId="200" fontId="11" fillId="0" borderId="30" xfId="0" applyNumberFormat="1" applyFont="1" applyFill="1" applyBorder="1"/>
    <x:xf numFmtId="201" fontId="11" fillId="0" borderId="30" xfId="0" applyNumberFormat="1" applyFont="1" applyFill="1" applyBorder="1"/>
    <x:xf numFmtId="0" fontId="11" fillId="8" borderId="30" xfId="0" applyNumberFormat="1" applyFont="1" applyFill="1" applyBorder="1"/>
    <x:xf numFmtId="0" fontId="11" fillId="0" borderId="31" xfId="0" applyNumberFormat="1" applyFont="1" applyFill="1" applyBorder="1"/>
    <x:xf numFmtId="200" fontId="11" fillId="0" borderId="31" xfId="0" applyNumberFormat="1" applyFont="1" applyFill="1" applyBorder="1"/>
    <x:xf numFmtId="201" fontId="11" fillId="0" borderId="31" xfId="0" applyNumberFormat="1" applyFont="1" applyFill="1" applyBorder="1"/>
    <x:xf numFmtId="0" fontId="11" fillId="8" borderId="31" xfId="0" applyNumberFormat="1" applyFont="1" applyFill="1" applyBorder="1"/>
    <x:xf numFmtId="0" fontId="10" fillId="12" borderId="17" xfId="0" applyNumberFormat="1" applyFont="1" applyFill="1" applyBorder="1"/>
    <x:xf numFmtId="200" fontId="10" fillId="12" borderId="17" xfId="0" applyNumberFormat="1" applyFont="1" applyFill="1" applyBorder="1"/>
    <x:xf numFmtId="201" fontId="10" fillId="12" borderId="17" xfId="0" applyNumberFormat="1" applyFont="1" applyFill="1" applyBorder="1"/>
    <x:xf numFmtId="0" fontId="18" fillId="12" borderId="17" xfId="0" applyNumberFormat="1" applyFont="1" applyFill="1" applyBorder="1"/>
    <x:xf numFmtId="200" fontId="18" fillId="12" borderId="17" xfId="0" applyNumberFormat="1" applyFont="1" applyFill="1" applyBorder="1"/>
    <x:xf numFmtId="201" fontId="18" fillId="12" borderId="17" xfId="0" applyNumberFormat="1" applyFont="1" applyFill="1" applyBorder="1"/>
    <x:xf numFmtId="201" fontId="11" fillId="0" borderId="0" xfId="0" applyNumberFormat="1" applyFont="1" applyFill="1" applyBorder="1"/>
    <x:xf numFmtId="202" fontId="11" fillId="0" borderId="29" xfId="0" applyNumberFormat="1" applyFont="1" applyFill="1" applyBorder="1"/>
    <x:xf numFmtId="202" fontId="11" fillId="0" borderId="30" xfId="0" applyNumberFormat="1" applyFont="1" applyFill="1" applyBorder="1"/>
    <x:xf numFmtId="202" fontId="11" fillId="0" borderId="31" xfId="0" applyNumberFormat="1" applyFont="1" applyFill="1" applyBorder="1"/>
    <x:xf numFmtId="202" fontId="11" fillId="0" borderId="0" xfId="0" applyNumberFormat="1" applyFont="1" applyFill="1" applyBorder="1"/>
    <x:xf numFmtId="202" fontId="18" fillId="12" borderId="28" xfId="0" applyNumberFormat="1" applyFont="1" applyFill="1" applyBorder="1"/>
    <x:xf numFmtId="0" fontId="11" fillId="14" borderId="29" xfId="0" applyNumberFormat="1" applyFont="1" applyFill="1" applyBorder="1"/>
    <x:xf numFmtId="0" fontId="11" fillId="14" borderId="30" xfId="0" applyNumberFormat="1" applyFont="1" applyFill="1" applyBorder="1"/>
    <x:xf numFmtId="0" fontId="11" fillId="14" borderId="31" xfId="0" applyNumberFormat="1" applyFont="1" applyFill="1" applyBorder="1"/>
    <x:xf numFmtId="202" fontId="11" fillId="14" borderId="29" xfId="0" applyNumberFormat="1" applyFont="1" applyFill="1" applyBorder="1"/>
    <x:xf numFmtId="202" fontId="11" fillId="14" borderId="30" xfId="0" applyNumberFormat="1" applyFont="1" applyFill="1" applyBorder="1"/>
    <x:xf numFmtId="202" fontId="11" fillId="14" borderId="31" xfId="0" applyNumberFormat="1" applyFont="1" applyFill="1" applyBorder="1"/>
    <x:xf numFmtId="202" fontId="17" fillId="14" borderId="29" xfId="0" applyNumberFormat="1" applyFont="1" applyFill="1" applyBorder="1"/>
    <x:xf numFmtId="202" fontId="17" fillId="14" borderId="30" xfId="0" applyNumberFormat="1" applyFont="1" applyFill="1" applyBorder="1"/>
    <x:xf numFmtId="202" fontId="17" fillId="14" borderId="31" xfId="0" applyNumberFormat="1" applyFont="1" applyFill="1" applyBorder="1"/>
    <x:xf numFmtId="202" fontId="17" fillId="14" borderId="29" xfId="0" applyNumberFormat="1" applyFont="1" applyFill="1" applyBorder="1" applyAlignment="1">
      <x:alignment horizontal="right"/>
    </x:xf>
    <x:xf numFmtId="202" fontId="17" fillId="14" borderId="30" xfId="0" applyNumberFormat="1" applyFont="1" applyFill="1" applyBorder="1" applyAlignment="1">
      <x:alignment horizontal="right"/>
    </x:xf>
    <x:xf numFmtId="202" fontId="17" fillId="14" borderId="29" xfId="0" applyNumberFormat="1" applyFont="1" applyFill="1" applyBorder="1" applyAlignment="1">
      <x:alignment horizontal="right" vertical="center"/>
    </x:xf>
    <x:xf numFmtId="202" fontId="17" fillId="14" borderId="30" xfId="0" applyNumberFormat="1" applyFont="1" applyFill="1" applyBorder="1" applyAlignment="1">
      <x:alignment horizontal="right" vertical="center"/>
    </x:xf>
    <x:xf numFmtId="202" fontId="18" fillId="12" borderId="28" xfId="0" applyNumberFormat="1" applyFont="1" applyFill="1" applyBorder="1" applyAlignment="1">
      <x:alignment horizontal="right"/>
    </x:xf>
    <x:xf numFmtId="202" fontId="18" fillId="12" borderId="28" xfId="0" applyNumberFormat="1" applyFont="1" applyFill="1" applyBorder="1" applyAlignment="1">
      <x:alignment horizontal="right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vertical="center"/>
    </x:xf>
    <x:xf numFmtId="0" fontId="15" fillId="9" borderId="29" xfId="0" applyNumberFormat="1" applyFont="1" applyFill="1" applyBorder="1" applyAlignment="1">
      <x:alignment vertical="center"/>
    </x:xf>
    <x:xf numFmtId="0" fontId="11" fillId="0" borderId="29" xfId="0" applyNumberFormat="1" applyFont="1" applyFill="1" applyBorder="1" applyAlignment="1">
      <x:alignment vertical="center" wrapText="1"/>
    </x:xf>
    <x:xf numFmtId="0" fontId="15" fillId="9" borderId="30" xfId="0" applyNumberFormat="1" applyFont="1" applyFill="1" applyBorder="1" applyAlignment="1">
      <x:alignment vertical="center"/>
    </x:xf>
    <x:xf numFmtId="0" fontId="11" fillId="0" borderId="30" xfId="0" applyNumberFormat="1" applyFont="1" applyFill="1" applyBorder="1" applyAlignment="1">
      <x:alignment vertical="center" wrapText="1"/>
    </x:xf>
    <x:xf numFmtId="0" fontId="15" fillId="9" borderId="32" xfId="0" applyNumberFormat="1" applyFont="1" applyFill="1" applyBorder="1" applyAlignment="1">
      <x:alignment vertical="center"/>
    </x:xf>
    <x:xf numFmtId="0" fontId="11" fillId="0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3aba9ae044f85" /><Relationship Type="http://schemas.openxmlformats.org/officeDocument/2006/relationships/theme" Target="/xl/theme/theme1.xml" Id="Re1939596457d4440" /><Relationship Type="http://schemas.openxmlformats.org/officeDocument/2006/relationships/sharedStrings" Target="/xl/sharedStrings.xml" Id="R26741f93bedd4d6f" /><Relationship Type="http://schemas.openxmlformats.org/officeDocument/2006/relationships/worksheet" Target="/xl/worksheets/sheet1.xml" Id="Raf3b8735989148fe" /><Relationship Type="http://schemas.openxmlformats.org/officeDocument/2006/relationships/worksheet" Target="/xl/worksheets/sheet2.xml" Id="R058f4b0504934e54" /><Relationship Type="http://schemas.openxmlformats.org/officeDocument/2006/relationships/worksheet" Target="/xl/worksheets/sheet3.xml" Id="R9b3b1de6547b4203" /><Relationship Type="http://schemas.openxmlformats.org/officeDocument/2006/relationships/worksheet" Target="/xl/worksheets/sheet4.xml" Id="Rf404982d7dbd40c1" /><Relationship Type="http://schemas.openxmlformats.org/officeDocument/2006/relationships/worksheet" Target="/xl/worksheets/sheet5.xml" Id="R22d1fb9e088146d5" /><Relationship Type="http://schemas.openxmlformats.org/officeDocument/2006/relationships/worksheet" Target="/xl/worksheets/sheet6.xml" Id="Rf0c205249c8f4f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266b1fb63b482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ac51507f6ca4c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Población por etapa de vida (personas)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Población</c:v>
          </c:tx>
          <c:spPr>
            <a:solidFill xmlns:a="http://schemas.openxmlformats.org/drawingml/2006/main">
              <a:srgbClr val="2E6F95"/>
            </a:solidFill>
          </c:spPr>
          <c:cat>
            <c:strRef>
              <c:f>'Resumen 2020'!$A$8:$A$11</c:f>
              <c:strCache>
                <c:ptCount val="0"/>
              </c:strCache>
            </c:strRef>
          </c:cat>
          <c:val>
            <c:numRef>
              <c:f>'Resumen 2020'!$B$8:$B$11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Proporción de población de 60 años y más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% 60+</c:v>
          </c:tx>
          <c:spPr>
            <a:solidFill xmlns:a="http://schemas.openxmlformats.org/drawingml/2006/main">
              <a:srgbClr val="4D8B57"/>
            </a:solidFill>
          </c:spPr>
          <c:cat>
            <c:strRef>
              <c:f>'Por alcaldía'!$A$6:$A$21</c:f>
              <c:strCache>
                <c:ptCount val="0"/>
              </c:strCache>
            </c:strRef>
          </c:cat>
          <c:val>
            <c:numRef>
              <c:f>'Por alcaldía'!$J$6:$J$21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266b1fb63b482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51507f6ca4c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Alcaldia2020" displayName="BaseAlcaldia2020" ref="A1:D577" headerRowCount="1" totalsRowCount="0" totalsRowShown="0">
  <x:tableColumns count="4">
    <x:tableColumn id="1" name="alcaldia"/>
    <x:tableColumn id="2" name="sexo"/>
    <x:tableColumn id="3" name="rango_edad"/>
    <x:tableColumn id="4" name="pob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ocalidad2020" displayName="BaseLocalidad2020" ref="A1:E3277" headerRowCount="1" totalsRowCount="0" totalsRowShown="0">
  <x:tableColumns count="5">
    <x:tableColumn id="1" name="alcaldia"/>
    <x:tableColumn id="2" name="localidad"/>
    <x:tableColumn id="3" name="sexo"/>
    <x:tableColumn id="4" name="rango_edad"/>
    <x:tableColumn id="5" name="pobla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cionarioVariablesAGEB" displayName="DiccionarioVariablesAGEB" ref="A6:E25" headerRowCount="1" totalsRowCount="0" totalsRowShown="0">
  <x:tableColumns count="5">
    <x:tableColumn id="1" name="Archivo"/>
    <x:tableColumn id="2" name="Nombre"/>
    <x:tableColumn id="3" name="Etiqueta"/>
    <x:tableColumn id="4" name="Descripción"/>
    <x:tableColumn id="5" name="Ti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a77eea0acb49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22f8aedcc6a4b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be4adfea31143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2fee2ffc8524c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dcd785453024578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  <x:col min="6" max="6" width="3" hidden="0" customWidth="1"/>
    <x:col min="7" max="7" width="28" hidden="0" customWidth="1"/>
    <x:col min="8" max="8" width="5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61" t="str">
        <x:v>Población por etapas de vida en Ciudad de México, 2020</x:v>
      </x:c>
      <x:c r="B2" s="132"/>
      <x:c r="C2" s="132"/>
      <x:c r="D2" s="132"/>
      <x:c r="E2" s="132"/>
      <x:c r="F2" s="132"/>
      <x:c r="G2" s="132"/>
      <x:c r="H2" s="132"/>
      <x:c r="I2" s="4"/>
      <x:c r="J2" s="4"/>
      <x:c r="K2" s="4"/>
      <x:c r="L2" s="4"/>
      <x:c r="M2" s="4"/>
      <x:c r="N2" s="4"/>
    </x:row>
    <x:row r="3">
      <x:c r="A3" s="162" t="str">
        <x:v>Censo 2020. El estudio cubre infancias, adultos jóvenes, adultos de edad media y adultos mayores.</x:v>
      </x:c>
      <x:c r="B3" s="132"/>
      <x:c r="C3" s="132"/>
      <x:c r="D3" s="132"/>
      <x:c r="E3" s="132"/>
      <x:c r="F3" s="132"/>
      <x:c r="G3" s="132"/>
      <x:c r="H3" s="132"/>
      <x:c r="I3" s="4"/>
      <x:c r="J3" s="4"/>
      <x:c r="K3" s="4"/>
      <x:c r="L3" s="4"/>
      <x:c r="M3" s="4"/>
      <x:c r="N3" s="4"/>
    </x:row>
    <x:row r="4">
      <x:c r="A4" s="134"/>
      <x:c r="B4" s="134"/>
      <x:c r="C4" s="134"/>
      <x:c r="D4" s="134"/>
      <x:c r="E4" s="134"/>
      <x:c r="F4" s="134"/>
      <x:c r="G4" s="134"/>
      <x:c r="H4" s="134"/>
      <x:c r="I4" s="75"/>
      <x:c r="J4" s="75"/>
      <x:c r="K4" s="75"/>
      <x:c r="L4" s="75"/>
      <x:c r="M4" s="75"/>
      <x:c r="N4" s="75"/>
    </x:row>
    <x:row r="5">
      <x:c r="A5" s="165" t="str">
        <x:v>Población con edad especificada</x:v>
      </x:c>
      <x:c r="B5" s="171" t="n">
        <x:f>SUM('Base alcaldía'!$D$2:$D$577)</x:f>
        <x:v>9200318</x:v>
      </x:c>
      <x:c r="C5" s="137"/>
      <x:c r="D5" s="168" t="str">
        <x:v>Población adulta (18+)</x:v>
      </x:c>
      <x:c r="E5" s="171" t="n">
        <x:f>SUM(B9:B11)</x:f>
        <x:v>7157311.6</x:v>
      </x:c>
      <x:c r="F5" s="132"/>
      <x:c r="G5" s="165" t="str">
        <x:v>Porcentaje de 60 años y más</x:v>
      </x:c>
      <x:c r="H5" s="174" t="n">
        <x:f>C11</x:f>
        <x:v>0.1621268960485931</x:v>
      </x:c>
      <x:c r="I5" s="4"/>
      <x:c r="J5" s="4"/>
      <x:c r="K5" s="4"/>
      <x:c r="L5" s="4"/>
      <x:c r="M5" s="4"/>
      <x:c r="N5" s="4"/>
    </x:row>
    <x:row r="6">
      <x:c r="A6" s="132"/>
      <x:c r="B6" s="132"/>
      <x:c r="C6" s="132"/>
      <x:c r="D6" s="132"/>
      <x:c r="E6" s="132"/>
      <x:c r="F6" s="132"/>
      <x:c r="G6" s="132"/>
      <x:c r="H6" s="132"/>
      <x:c r="I6" s="4"/>
      <x:c r="J6" s="4"/>
      <x:c r="K6" s="4"/>
      <x:c r="L6" s="4"/>
      <x:c r="M6" s="4"/>
      <x:c r="N6" s="4"/>
    </x:row>
    <x:row r="7" ht="28" customHeight="1">
      <x:c r="A7" s="177" t="str">
        <x:v>Etapa de vida</x:v>
      </x:c>
      <x:c r="B7" s="177" t="str">
        <x:v>Población</x:v>
      </x:c>
      <x:c r="C7" s="177" t="str">
        <x:v>% de la población</x:v>
      </x:c>
      <x:c r="D7" s="177" t="str">
        <x:v>Hombres</x:v>
      </x:c>
      <x:c r="E7" s="180" t="str">
        <x:v>Mujeres</x:v>
      </x:c>
      <x:c r="F7" s="141"/>
      <x:c r="G7" s="236" t="str">
        <x:v>Lectura</x:v>
      </x:c>
      <x:c r="H7" s="179" t="str">
        <x:v>Resultado</x:v>
      </x:c>
      <x:c r="I7" s="4"/>
      <x:c r="J7" s="4"/>
      <x:c r="K7" s="4"/>
      <x:c r="L7" s="4"/>
      <x:c r="M7" s="4"/>
      <x:c r="N7" s="4"/>
    </x:row>
    <x:row r="8" ht="30" customHeight="1">
      <x:c r="A8" s="207" t="str">
        <x:v>Infancias: 0 a 17 años</x:v>
      </x:c>
      <x:c r="B8" s="225" t="n">
        <x:f>B18+B19+B20+B21*3/5</x:f>
        <x:v>2043006.4</x:v>
      </x:c>
      <x:c r="C8" s="226" t="n">
        <x:f>B8/$B$5</x:f>
        <x:v>0.22205823755222373</x:v>
      </x:c>
      <x:c r="D8" s="227" t="n">
        <x:f>D18+D19+D20+D21*3/5</x:f>
        <x:v>1036962.4</x:v>
      </x:c>
      <x:c r="E8" s="228" t="n">
        <x:f>E18+E19+E20+E21*3/5</x:f>
        <x:v>1006044</x:v>
      </x:c>
      <x:c r="F8" s="146"/>
      <x:c r="G8" s="243" t="str">
        <x:v>Grupo con mayor volumen</x:v>
      </x:c>
      <x:c r="H8" s="247" t="str">
        <x:v>Adultos de edad media (30-59): 3,938,643 personas, 42.8% del total.</x:v>
      </x:c>
      <x:c r="I8" s="4"/>
      <x:c r="J8" s="4"/>
      <x:c r="K8" s="4"/>
      <x:c r="L8" s="4"/>
      <x:c r="M8" s="4"/>
      <x:c r="N8" s="4"/>
    </x:row>
    <x:row r="9" ht="30" customHeight="1">
      <x:c r="A9" s="211" t="str">
        <x:v>Adultos jóvenes: 18 a 29 años</x:v>
      </x:c>
      <x:c r="B9" s="229" t="n">
        <x:f>B21*2/5+B22+B23</x:f>
        <x:v>1727049.6</x:v>
      </x:c>
      <x:c r="C9" s="230" t="n">
        <x:f>B9/$B$5</x:f>
        <x:v>0.18771629415418034</x:v>
      </x:c>
      <x:c r="D9" s="231" t="n">
        <x:f>D21*2/5+D22+D23</x:f>
        <x:v>863573.6</x:v>
      </x:c>
      <x:c r="E9" s="232" t="n">
        <x:f>E21*2/5+E22+E23</x:f>
        <x:v>863476</x:v>
      </x:c>
      <x:c r="F9" s="152"/>
      <x:c r="G9" s="244" t="str">
        <x:v>Población adulta</x:v>
      </x:c>
      <x:c r="H9" s="247" t="str">
        <x:v>La población estimada de 18 años y más es 7,157,312 personas, 77.8% del total.</x:v>
      </x:c>
      <x:c r="I9" s="4"/>
      <x:c r="J9" s="4"/>
      <x:c r="K9" s="4"/>
      <x:c r="L9" s="4"/>
      <x:c r="M9" s="4"/>
      <x:c r="N9" s="4"/>
    </x:row>
    <x:row r="10" ht="30" customHeight="1">
      <x:c r="A10" s="211" t="str">
        <x:v>Adultos de edad media: 30 a 59 años</x:v>
      </x:c>
      <x:c r="B10" s="229" t="n">
        <x:f>SUM(B24:B29)</x:f>
        <x:v>3938643</x:v>
      </x:c>
      <x:c r="C10" s="230" t="n">
        <x:f>B10/$B$5</x:f>
        <x:v>0.42809857224500286</x:v>
      </x:c>
      <x:c r="D10" s="231" t="n">
        <x:f>SUM(D24:D29)</x:f>
        <x:v>1861196</x:v>
      </x:c>
      <x:c r="E10" s="232" t="n">
        <x:f>SUM(E24:E29)</x:f>
        <x:v>2077447</x:v>
      </x:c>
      <x:c r="F10" s="152"/>
      <x:c r="G10" s="244" t="str">
        <x:v>Adultos mayores</x:v>
      </x:c>
      <x:c r="H10" s="247" t="str">
        <x:v>La población de 60 años y más es 1,491,619 personas, 16.2% del total.</x:v>
      </x:c>
      <x:c r="I10" s="4"/>
      <x:c r="J10" s="4"/>
      <x:c r="K10" s="4"/>
      <x:c r="L10" s="4"/>
      <x:c r="M10" s="4"/>
      <x:c r="N10" s="4"/>
    </x:row>
    <x:row r="11" ht="30" customHeight="1">
      <x:c r="A11" s="211" t="str">
        <x:v>Adultos mayores: 60 años y más</x:v>
      </x:c>
      <x:c r="B11" s="229" t="n">
        <x:f>SUM(B30:B35)</x:f>
        <x:v>1491619</x:v>
      </x:c>
      <x:c r="C11" s="230" t="n">
        <x:f>B11/$B$5</x:f>
        <x:v>0.1621268960485931</x:v>
      </x:c>
      <x:c r="D11" s="229" t="n">
        <x:f>SUM(D30:D35)</x:f>
        <x:v>638412</x:v>
      </x:c>
      <x:c r="E11" s="232" t="n">
        <x:f>SUM(E30:E35)</x:f>
        <x:v>853207</x:v>
      </x:c>
      <x:c r="F11" s="152"/>
      <x:c r="G11" s="244" t="str">
        <x:v>Mayor proporción de 60+</x:v>
      </x:c>
      <x:c r="H11" s="247" t="str">
        <x:v>Coyoacán: 20.6% de su población con edad especificada.</x:v>
      </x:c>
      <x:c r="I11" s="4"/>
      <x:c r="J11" s="4"/>
      <x:c r="K11" s="4"/>
      <x:c r="L11" s="4"/>
      <x:c r="M11" s="4"/>
      <x:c r="N11" s="4"/>
    </x:row>
    <x:row r="12" ht="30" customHeight="1">
      <x:c r="A12" s="218" t="str">
        <x:v>Total</x:v>
      </x:c>
      <x:c r="B12" s="233" t="n">
        <x:f>SUM(B8:B11)</x:f>
        <x:v>9200318</x:v>
      </x:c>
      <x:c r="C12" s="234" t="n">
        <x:f>B12/$B$5</x:f>
        <x:v>1</x:v>
      </x:c>
      <x:c r="D12" s="233" t="n">
        <x:f>SUM(D8:D11)</x:f>
        <x:v>4400144</x:v>
      </x:c>
      <x:c r="E12" s="233" t="n">
        <x:f>SUM(E8:E11)</x:f>
        <x:v>4800174</x:v>
      </x:c>
      <x:c r="F12" s="159"/>
      <x:c r="G12" s="245" t="str">
        <x:v>Crecimiento temporal</x:v>
      </x:c>
      <x:c r="H12" s="248" t="str">
        <x:v>No se puede calcular con un solo año. Se necesita la misma estructura por edad en otro periodo comparable.</x:v>
      </x:c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249" t="str">
        <x:v>Distribución por grupos de cinco años para toda la población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 ht="20" customHeight="1">
      <x:c r="A17" s="64" t="str">
        <x:v>Grupo de edad</x:v>
      </x:c>
      <x:c r="B17" s="64" t="str">
        <x:v>Población</x:v>
      </x:c>
      <x:c r="C17" s="64" t="str">
        <x:v>% del total</x:v>
      </x:c>
      <x:c r="D17" s="64" t="str">
        <x:v>Hombres</x:v>
      </x:c>
      <x:c r="E17" s="64" t="str">
        <x:v>Mujeres</x:v>
      </x:c>
      <x:c r="F17" s="4"/>
      <x:c r="G17" s="4"/>
      <x:c r="H17" s="4"/>
      <x:c r="I17" s="4"/>
      <x:c r="J17" s="4"/>
      <x:c r="K17" s="4"/>
      <x:c r="L17" s="4"/>
      <x:c r="M17" s="4"/>
      <x:c r="N17" s="4"/>
    </x:row>
    <x:row r="18" ht="20" customHeight="1">
      <x:c r="A18" s="86" t="str">
        <x:v>0 a 4 años</x:v>
      </x:c>
      <x:c r="B18" s="87" t="n">
        <x:f>SUMIFS('Base alcaldía'!$D$2:$D$577,'Base alcaldía'!$C$2:$C$577,"a) 0 a 4 años")</x:f>
        <x:v>479904</x:v>
      </x:c>
      <x:c r="C18" s="88" t="n">
        <x:f>B18/$B$5</x:f>
        <x:v>0.05216167528122397</x:v>
      </x:c>
      <x:c r="D18" s="87" t="n">
        <x:f>SUMIFS('Base alcaldía'!$D$2:$D$577,'Base alcaldía'!$C$2:$C$577,"a) 0 a 4 años",'Base alcaldía'!$B$2:$B$577,"Hombre")</x:f>
        <x:v>242877</x:v>
      </x:c>
      <x:c r="E18" s="87" t="n">
        <x:f>SUMIFS('Base alcaldía'!$D$2:$D$577,'Base alcaldía'!$C$2:$C$577,"a) 0 a 4 años",'Base alcaldía'!$B$2:$B$577,"Mujer")</x:f>
        <x:v>237027</x:v>
      </x:c>
      <x:c r="F18" s="4"/>
      <x:c r="G18" s="4"/>
      <x:c r="H18" s="4"/>
      <x:c r="I18" s="4"/>
      <x:c r="J18" s="4"/>
      <x:c r="K18" s="4"/>
      <x:c r="L18" s="4"/>
      <x:c r="M18" s="4"/>
      <x:c r="N18" s="4"/>
    </x:row>
    <x:row r="19" ht="20" customHeight="1">
      <x:c r="A19" s="89" t="str">
        <x:v>5 a 9 años</x:v>
      </x:c>
      <x:c r="B19" s="90" t="n">
        <x:f>SUMIFS('Base alcaldía'!$D$2:$D$577,'Base alcaldía'!$C$2:$C$577,"b) 5 a 9 años")</x:f>
        <x:v>563907</x:v>
      </x:c>
      <x:c r="C19" s="91" t="n">
        <x:f>B19/$B$5</x:f>
        <x:v>0.06129212055496343</x:v>
      </x:c>
      <x:c r="D19" s="90" t="n">
        <x:f>SUMIFS('Base alcaldía'!$D$2:$D$577,'Base alcaldía'!$C$2:$C$577,"b) 5 a 9 años",'Base alcaldía'!$B$2:$B$577,"Hombre")</x:f>
        <x:v>286280</x:v>
      </x:c>
      <x:c r="E19" s="90" t="n">
        <x:f>SUMIFS('Base alcaldía'!$D$2:$D$577,'Base alcaldía'!$C$2:$C$577,"b) 5 a 9 años",'Base alcaldía'!$B$2:$B$577,"Mujer")</x:f>
        <x:v>277627</x:v>
      </x:c>
      <x:c r="F19" s="4"/>
      <x:c r="G19" s="4"/>
      <x:c r="H19" s="4"/>
      <x:c r="I19" s="4"/>
      <x:c r="J19" s="4"/>
      <x:c r="K19" s="4"/>
      <x:c r="L19" s="4"/>
      <x:c r="M19" s="4"/>
      <x:c r="N19" s="4"/>
    </x:row>
    <x:row r="20" ht="20" customHeight="1">
      <x:c r="A20" s="89" t="str">
        <x:v>10 a 14 años</x:v>
      </x:c>
      <x:c r="B20" s="90" t="n">
        <x:f>SUMIFS('Base alcaldía'!$D$2:$D$577,'Base alcaldía'!$C$2:$C$577,"c) 10 a 14 años")</x:f>
        <x:v>608962</x:v>
      </x:c>
      <x:c r="C20" s="91" t="n">
        <x:f>B20/$B$5</x:f>
        <x:v>0.06618923389387193</x:v>
      </x:c>
      <x:c r="D20" s="90" t="n">
        <x:f>SUMIFS('Base alcaldía'!$D$2:$D$577,'Base alcaldía'!$C$2:$C$577,"c) 10 a 14 años",'Base alcaldía'!$B$2:$B$577,"Hombre")</x:f>
        <x:v>309140</x:v>
      </x:c>
      <x:c r="E20" s="90" t="n">
        <x:f>SUMIFS('Base alcaldía'!$D$2:$D$577,'Base alcaldía'!$C$2:$C$577,"c) 10 a 14 años",'Base alcaldía'!$B$2:$B$577,"Mujer")</x:f>
        <x:v>299822</x:v>
      </x:c>
      <x:c r="F20" s="4"/>
      <x:c r="G20" s="4"/>
      <x:c r="H20" s="4"/>
      <x:c r="I20" s="4"/>
      <x:c r="J20" s="4"/>
      <x:c r="K20" s="4"/>
      <x:c r="L20" s="4"/>
      <x:c r="M20" s="4"/>
      <x:c r="N20" s="4"/>
    </x:row>
    <x:row r="21" ht="20" customHeight="1">
      <x:c r="A21" s="89" t="str">
        <x:v>15 a 19 años</x:v>
      </x:c>
      <x:c r="B21" s="90" t="n">
        <x:f>SUMIFS('Base alcaldía'!$D$2:$D$577,'Base alcaldía'!$C$2:$C$577,"d) 15 a 19 años")</x:f>
        <x:v>650389</x:v>
      </x:c>
      <x:c r="C21" s="91" t="n">
        <x:f>B21/$B$5</x:f>
        <x:v>0.07069201303694068</x:v>
      </x:c>
      <x:c r="D21" s="90" t="n">
        <x:f>SUMIFS('Base alcaldía'!$D$2:$D$577,'Base alcaldía'!$C$2:$C$577,"d) 15 a 19 años",'Base alcaldía'!$B$2:$B$577,"Hombre")</x:f>
        <x:v>331109</x:v>
      </x:c>
      <x:c r="E21" s="90" t="n">
        <x:f>SUMIFS('Base alcaldía'!$D$2:$D$577,'Base alcaldía'!$C$2:$C$577,"d) 15 a 19 años",'Base alcaldía'!$B$2:$B$577,"Mujer")</x:f>
        <x:v>319280</x:v>
      </x:c>
      <x:c r="F21" s="4"/>
      <x:c r="G21" s="4"/>
      <x:c r="H21" s="4"/>
      <x:c r="I21" s="4"/>
      <x:c r="J21" s="4"/>
      <x:c r="K21" s="4"/>
      <x:c r="L21" s="4"/>
      <x:c r="M21" s="4"/>
      <x:c r="N21" s="4"/>
    </x:row>
    <x:row r="22" ht="20" customHeight="1">
      <x:c r="A22" s="89" t="str">
        <x:v>20 a 24 años</x:v>
      </x:c>
      <x:c r="B22" s="90" t="n">
        <x:f>SUMIFS('Base alcaldía'!$D$2:$D$577,'Base alcaldía'!$C$2:$C$577,"e) 20 a 24 años")</x:f>
        <x:v>714605</x:v>
      </x:c>
      <x:c r="C22" s="91" t="n">
        <x:f>B22/$B$5</x:f>
        <x:v>0.07767177178006239</x:v>
      </x:c>
      <x:c r="D22" s="90" t="n">
        <x:f>SUMIFS('Base alcaldía'!$D$2:$D$577,'Base alcaldía'!$C$2:$C$577,"e) 20 a 24 años",'Base alcaldía'!$B$2:$B$577,"Hombre")</x:f>
        <x:v>359049</x:v>
      </x:c>
      <x:c r="E22" s="90" t="n">
        <x:f>SUMIFS('Base alcaldía'!$D$2:$D$577,'Base alcaldía'!$C$2:$C$577,"e) 20 a 24 años",'Base alcaldía'!$B$2:$B$577,"Mujer")</x:f>
        <x:v>355556</x:v>
      </x:c>
      <x:c r="F22" s="4"/>
      <x:c r="G22" s="4"/>
      <x:c r="H22" s="4"/>
      <x:c r="I22" s="4"/>
      <x:c r="J22" s="4"/>
      <x:c r="K22" s="4"/>
      <x:c r="L22" s="4"/>
      <x:c r="M22" s="4"/>
      <x:c r="N22" s="4"/>
    </x:row>
    <x:row r="23" ht="20" customHeight="1">
      <x:c r="A23" s="89" t="str">
        <x:v>25 a 29 años</x:v>
      </x:c>
      <x:c r="B23" s="90" t="n">
        <x:f>SUMIFS('Base alcaldía'!$D$2:$D$577,'Base alcaldía'!$C$2:$C$577,"f) 25 a 29 años")</x:f>
        <x:v>752289</x:v>
      </x:c>
      <x:c r="C23" s="91" t="n">
        <x:f>B23/$B$5</x:f>
        <x:v>0.08176771715934167</x:v>
      </x:c>
      <x:c r="D23" s="90" t="n">
        <x:f>SUMIFS('Base alcaldía'!$D$2:$D$577,'Base alcaldía'!$C$2:$C$577,"f) 25 a 29 años",'Base alcaldía'!$B$2:$B$577,"Hombre")</x:f>
        <x:v>372081</x:v>
      </x:c>
      <x:c r="E23" s="90" t="n">
        <x:f>SUMIFS('Base alcaldía'!$D$2:$D$577,'Base alcaldía'!$C$2:$C$577,"f) 25 a 29 años",'Base alcaldía'!$B$2:$B$577,"Mujer")</x:f>
        <x:v>380208</x:v>
      </x:c>
      <x:c r="F23" s="4"/>
      <x:c r="G23" s="4"/>
      <x:c r="H23" s="4"/>
      <x:c r="I23" s="4"/>
      <x:c r="J23" s="4"/>
      <x:c r="K23" s="4"/>
      <x:c r="L23" s="4"/>
      <x:c r="M23" s="4"/>
      <x:c r="N23" s="4"/>
    </x:row>
    <x:row r="24" ht="20" customHeight="1">
      <x:c r="A24" s="89" t="str">
        <x:v>30 a 34 años</x:v>
      </x:c>
      <x:c r="B24" s="90" t="n">
        <x:f>SUMIFS('Base alcaldía'!$D$2:$D$577,'Base alcaldía'!$C$2:$C$577,"g) 30 a 34 años")</x:f>
        <x:v>743611</x:v>
      </x:c>
      <x:c r="C24" s="91" t="n">
        <x:f>B24/$B$5</x:f>
        <x:v>0.08082448889266654</x:v>
      </x:c>
      <x:c r="D24" s="90" t="n">
        <x:f>SUMIFS('Base alcaldía'!$D$2:$D$577,'Base alcaldía'!$C$2:$C$577,"g) 30 a 34 años",'Base alcaldía'!$B$2:$B$577,"Hombre")</x:f>
        <x:v>363448</x:v>
      </x:c>
      <x:c r="E24" s="90" t="n">
        <x:f>SUMIFS('Base alcaldía'!$D$2:$D$577,'Base alcaldía'!$C$2:$C$577,"g) 30 a 34 años",'Base alcaldía'!$B$2:$B$577,"Mujer")</x:f>
        <x:v>380163</x:v>
      </x:c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20" customHeight="1">
      <x:c r="A25" s="89" t="str">
        <x:v>35 a 39 años</x:v>
      </x:c>
      <x:c r="B25" s="90" t="n">
        <x:f>SUMIFS('Base alcaldía'!$D$2:$D$577,'Base alcaldía'!$C$2:$C$577,"h) 35 a 39 años")</x:f>
        <x:v>705850</x:v>
      </x:c>
      <x:c r="C25" s="91" t="n">
        <x:f>B25/$B$5</x:f>
        <x:v>0.07672017423745571</x:v>
      </x:c>
      <x:c r="D25" s="90" t="n">
        <x:f>SUMIFS('Base alcaldía'!$D$2:$D$577,'Base alcaldía'!$C$2:$C$577,"h) 35 a 39 años",'Base alcaldía'!$B$2:$B$577,"Hombre")</x:f>
        <x:v>340545</x:v>
      </x:c>
      <x:c r="E25" s="90" t="n">
        <x:f>SUMIFS('Base alcaldía'!$D$2:$D$577,'Base alcaldía'!$C$2:$C$577,"h) 35 a 39 años",'Base alcaldía'!$B$2:$B$577,"Mujer")</x:f>
        <x:v>365305</x:v>
      </x:c>
      <x:c r="F25" s="4"/>
      <x:c r="G25" s="4"/>
      <x:c r="H25" s="4"/>
      <x:c r="I25" s="4"/>
      <x:c r="J25" s="4"/>
      <x:c r="K25" s="4"/>
      <x:c r="L25" s="4"/>
      <x:c r="M25" s="4"/>
      <x:c r="N25" s="4"/>
    </x:row>
    <x:row r="26" ht="20" customHeight="1">
      <x:c r="A26" s="89" t="str">
        <x:v>40 a 44 años</x:v>
      </x:c>
      <x:c r="B26" s="90" t="n">
        <x:f>SUMIFS('Base alcaldía'!$D$2:$D$577,'Base alcaldía'!$C$2:$C$577,"i) 40 a 44 años")</x:f>
        <x:v>670307</x:v>
      </x:c>
      <x:c r="C26" s="91" t="n">
        <x:f>B26/$B$5</x:f>
        <x:v>0.07285693820583158</x:v>
      </x:c>
      <x:c r="D26" s="90" t="n">
        <x:f>SUMIFS('Base alcaldía'!$D$2:$D$577,'Base alcaldía'!$C$2:$C$577,"i) 40 a 44 años",'Base alcaldía'!$B$2:$B$577,"Hombre")</x:f>
        <x:v>317312</x:v>
      </x:c>
      <x:c r="E26" s="90" t="n">
        <x:f>SUMIFS('Base alcaldía'!$D$2:$D$577,'Base alcaldía'!$C$2:$C$577,"i) 40 a 44 años",'Base alcaldía'!$B$2:$B$577,"Mujer")</x:f>
        <x:v>352995</x:v>
      </x:c>
      <x:c r="F26" s="4"/>
      <x:c r="G26" s="4"/>
      <x:c r="H26" s="4"/>
      <x:c r="I26" s="4"/>
      <x:c r="J26" s="4"/>
      <x:c r="K26" s="4"/>
      <x:c r="L26" s="4"/>
      <x:c r="M26" s="4"/>
      <x:c r="N26" s="4"/>
    </x:row>
    <x:row r="27" ht="20" customHeight="1">
      <x:c r="A27" s="89" t="str">
        <x:v>45 a 49 años</x:v>
      </x:c>
      <x:c r="B27" s="90" t="n">
        <x:f>SUMIFS('Base alcaldía'!$D$2:$D$577,'Base alcaldía'!$C$2:$C$577,"j) 45 a 49 años")</x:f>
        <x:v>668945</x:v>
      </x:c>
      <x:c r="C27" s="91" t="n">
        <x:f>B27/$B$5</x:f>
        <x:v>0.07270889984454885</x:v>
      </x:c>
      <x:c r="D27" s="90" t="n">
        <x:f>SUMIFS('Base alcaldía'!$D$2:$D$577,'Base alcaldía'!$C$2:$C$577,"j) 45 a 49 años",'Base alcaldía'!$B$2:$B$577,"Hombre")</x:f>
        <x:v>313846</x:v>
      </x:c>
      <x:c r="E27" s="90" t="n">
        <x:f>SUMIFS('Base alcaldía'!$D$2:$D$577,'Base alcaldía'!$C$2:$C$577,"j) 45 a 49 años",'Base alcaldía'!$B$2:$B$577,"Mujer")</x:f>
        <x:v>355099</x:v>
      </x:c>
      <x:c r="F27" s="4"/>
      <x:c r="G27" s="4"/>
      <x:c r="H27" s="4"/>
      <x:c r="I27" s="4"/>
      <x:c r="J27" s="4"/>
      <x:c r="K27" s="4"/>
      <x:c r="L27" s="4"/>
      <x:c r="M27" s="4"/>
      <x:c r="N27" s="4"/>
    </x:row>
    <x:row r="28" ht="20" customHeight="1">
      <x:c r="A28" s="89" t="str">
        <x:v>50 a 54 años</x:v>
      </x:c>
      <x:c r="B28" s="90" t="n">
        <x:f>SUMIFS('Base alcaldía'!$D$2:$D$577,'Base alcaldía'!$C$2:$C$577,"k) 50 a 54 años")</x:f>
        <x:v>623483</x:v>
      </x:c>
      <x:c r="C28" s="91" t="n">
        <x:f>B28/$B$5</x:f>
        <x:v>0.06776754890428788</x:v>
      </x:c>
      <x:c r="D28" s="90" t="n">
        <x:f>SUMIFS('Base alcaldía'!$D$2:$D$577,'Base alcaldía'!$C$2:$C$577,"k) 50 a 54 años",'Base alcaldía'!$B$2:$B$577,"Hombre")</x:f>
        <x:v>286394</x:v>
      </x:c>
      <x:c r="E28" s="90" t="n">
        <x:f>SUMIFS('Base alcaldía'!$D$2:$D$577,'Base alcaldía'!$C$2:$C$577,"k) 50 a 54 años",'Base alcaldía'!$B$2:$B$577,"Mujer")</x:f>
        <x:v>337089</x:v>
      </x:c>
      <x:c r="F28" s="4"/>
      <x:c r="G28" s="4"/>
      <x:c r="H28" s="4"/>
      <x:c r="I28" s="4"/>
      <x:c r="J28" s="4"/>
      <x:c r="K28" s="4"/>
      <x:c r="L28" s="4"/>
      <x:c r="M28" s="4"/>
      <x:c r="N28" s="4"/>
    </x:row>
    <x:row r="29" ht="20" customHeight="1">
      <x:c r="A29" s="89" t="str">
        <x:v>55 a 59 años</x:v>
      </x:c>
      <x:c r="B29" s="90" t="n">
        <x:f>SUMIFS('Base alcaldía'!$D$2:$D$577,'Base alcaldía'!$C$2:$C$577,"l) 55 a 59 años")</x:f>
        <x:v>526447</x:v>
      </x:c>
      <x:c r="C29" s="91" t="n">
        <x:f>B29/$B$5</x:f>
        <x:v>0.05722052216021229</x:v>
      </x:c>
      <x:c r="D29" s="90" t="n">
        <x:f>SUMIFS('Base alcaldía'!$D$2:$D$577,'Base alcaldía'!$C$2:$C$577,"l) 55 a 59 años",'Base alcaldía'!$B$2:$B$577,"Hombre")</x:f>
        <x:v>239651</x:v>
      </x:c>
      <x:c r="E29" s="90" t="n">
        <x:f>SUMIFS('Base alcaldía'!$D$2:$D$577,'Base alcaldía'!$C$2:$C$577,"l) 55 a 59 años",'Base alcaldía'!$B$2:$B$577,"Mujer")</x:f>
        <x:v>286796</x:v>
      </x:c>
      <x:c r="F29" s="4"/>
      <x:c r="G29" s="4"/>
      <x:c r="H29" s="4"/>
      <x:c r="I29" s="4"/>
      <x:c r="J29" s="4"/>
      <x:c r="K29" s="4"/>
      <x:c r="L29" s="4"/>
      <x:c r="M29" s="4"/>
      <x:c r="N29" s="4"/>
    </x:row>
    <x:row r="30" ht="20" customHeight="1">
      <x:c r="A30" s="89" t="str">
        <x:v>60 a 64 años</x:v>
      </x:c>
      <x:c r="B30" s="90" t="n">
        <x:f>SUMIFS('Base alcaldía'!$D$2:$D$577,'Base alcaldía'!$C$2:$C$577,"m) 60 a 64 años")</x:f>
        <x:v>469514</x:v>
      </x:c>
      <x:c r="C30" s="91" t="n">
        <x:f>B30/$B$5</x:f>
        <x:v>0.05103236648994089</x:v>
      </x:c>
      <x:c r="D30" s="90" t="n">
        <x:f>SUMIFS('Base alcaldía'!$D$2:$D$577,'Base alcaldía'!$C$2:$C$577,"m) 60 a 64 años",'Base alcaldía'!$B$2:$B$577,"Hombre")</x:f>
        <x:v>209065</x:v>
      </x:c>
      <x:c r="E30" s="90" t="n">
        <x:f>SUMIFS('Base alcaldía'!$D$2:$D$577,'Base alcaldía'!$C$2:$C$577,"m) 60 a 64 años",'Base alcaldía'!$B$2:$B$577,"Mujer")</x:f>
        <x:v>260449</x:v>
      </x:c>
      <x:c r="F30" s="4"/>
      <x:c r="G30" s="4"/>
      <x:c r="H30" s="4"/>
      <x:c r="I30" s="4"/>
      <x:c r="J30" s="4"/>
      <x:c r="K30" s="4"/>
      <x:c r="L30" s="4"/>
      <x:c r="M30" s="4"/>
      <x:c r="N30" s="4"/>
    </x:row>
    <x:row r="31" ht="20" customHeight="1">
      <x:c r="A31" s="89" t="str">
        <x:v>65 a 69 años</x:v>
      </x:c>
      <x:c r="B31" s="90" t="n">
        <x:f>SUMIFS('Base alcaldía'!$D$2:$D$577,'Base alcaldía'!$C$2:$C$577,"n) 65 a 69 años")</x:f>
        <x:v>356196</x:v>
      </x:c>
      <x:c r="C31" s="91" t="n">
        <x:f>B31/$B$5</x:f>
        <x:v>0.038715618307975874</x:v>
      </x:c>
      <x:c r="D31" s="90" t="n">
        <x:f>SUMIFS('Base alcaldía'!$D$2:$D$577,'Base alcaldía'!$C$2:$C$577,"n) 65 a 69 años",'Base alcaldía'!$B$2:$B$577,"Hombre")</x:f>
        <x:v>157245</x:v>
      </x:c>
      <x:c r="E31" s="90" t="n">
        <x:f>SUMIFS('Base alcaldía'!$D$2:$D$577,'Base alcaldía'!$C$2:$C$577,"n) 65 a 69 años",'Base alcaldía'!$B$2:$B$577,"Mujer")</x:f>
        <x:v>198951</x:v>
      </x:c>
      <x:c r="F31" s="4"/>
      <x:c r="G31" s="4"/>
      <x:c r="H31" s="4"/>
      <x:c r="I31" s="4"/>
      <x:c r="J31" s="4"/>
      <x:c r="K31" s="4"/>
      <x:c r="L31" s="4"/>
      <x:c r="M31" s="4"/>
      <x:c r="N31" s="4"/>
    </x:row>
    <x:row r="32" ht="20" customHeight="1">
      <x:c r="A32" s="89" t="str">
        <x:v>70 a 74 años</x:v>
      </x:c>
      <x:c r="B32" s="90" t="n">
        <x:f>SUMIFS('Base alcaldía'!$D$2:$D$577,'Base alcaldía'!$C$2:$C$577,"o) 70 a 74 años")</x:f>
        <x:v>267744</x:v>
      </x:c>
      <x:c r="C32" s="91" t="n">
        <x:f>B32/$B$5</x:f>
        <x:v>0.02910160279242522</x:v>
      </x:c>
      <x:c r="D32" s="90" t="n">
        <x:f>SUMIFS('Base alcaldía'!$D$2:$D$577,'Base alcaldía'!$C$2:$C$577,"o) 70 a 74 años",'Base alcaldía'!$B$2:$B$577,"Hombre")</x:f>
        <x:v>115130</x:v>
      </x:c>
      <x:c r="E32" s="90" t="n">
        <x:f>SUMIFS('Base alcaldía'!$D$2:$D$577,'Base alcaldía'!$C$2:$C$577,"o) 70 a 74 años",'Base alcaldía'!$B$2:$B$577,"Mujer")</x:f>
        <x:v>152614</x:v>
      </x:c>
      <x:c r="F32" s="4"/>
      <x:c r="G32" s="4"/>
      <x:c r="H32" s="4"/>
      <x:c r="I32" s="4"/>
      <x:c r="J32" s="4"/>
      <x:c r="K32" s="4"/>
      <x:c r="L32" s="4"/>
      <x:c r="M32" s="4"/>
      <x:c r="N32" s="4"/>
    </x:row>
    <x:row r="33" ht="20" customHeight="1">
      <x:c r="A33" s="89" t="str">
        <x:v>75 a 79 años</x:v>
      </x:c>
      <x:c r="B33" s="90" t="n">
        <x:f>SUMIFS('Base alcaldía'!$D$2:$D$577,'Base alcaldía'!$C$2:$C$577,"p) 75 a 79 años")</x:f>
        <x:v>175215</x:v>
      </x:c>
      <x:c r="C33" s="91" t="n">
        <x:f>B33/$B$5</x:f>
        <x:v>0.019044450420083306</x:v>
      </x:c>
      <x:c r="D33" s="90" t="n">
        <x:f>SUMIFS('Base alcaldía'!$D$2:$D$577,'Base alcaldía'!$C$2:$C$577,"p) 75 a 79 años",'Base alcaldía'!$B$2:$B$577,"Hombre")</x:f>
        <x:v>74210</x:v>
      </x:c>
      <x:c r="E33" s="90" t="n">
        <x:f>SUMIFS('Base alcaldía'!$D$2:$D$577,'Base alcaldía'!$C$2:$C$577,"p) 75 a 79 años",'Base alcaldía'!$B$2:$B$577,"Mujer")</x:f>
        <x:v>101005</x:v>
      </x:c>
      <x:c r="F33" s="4"/>
      <x:c r="G33" s="4"/>
      <x:c r="H33" s="4"/>
      <x:c r="I33" s="4"/>
      <x:c r="J33" s="4"/>
      <x:c r="K33" s="4"/>
      <x:c r="L33" s="4"/>
      <x:c r="M33" s="4"/>
      <x:c r="N33" s="4"/>
    </x:row>
    <x:row r="34" ht="20" customHeight="1">
      <x:c r="A34" s="89" t="str">
        <x:v>80 a 84 años</x:v>
      </x:c>
      <x:c r="B34" s="90" t="n">
        <x:f>SUMIFS('Base alcaldía'!$D$2:$D$577,'Base alcaldía'!$C$2:$C$577,"q) 80 a 84 años")</x:f>
        <x:v>117480</x:v>
      </x:c>
      <x:c r="C34" s="91" t="n">
        <x:f>B34/$B$5</x:f>
        <x:v>0.012769123849849538</x:v>
      </x:c>
      <x:c r="D34" s="90" t="n">
        <x:f>SUMIFS('Base alcaldía'!$D$2:$D$577,'Base alcaldía'!$C$2:$C$577,"q) 80 a 84 años",'Base alcaldía'!$B$2:$B$577,"Hombre")</x:f>
        <x:v>46094</x:v>
      </x:c>
      <x:c r="E34" s="90" t="n">
        <x:f>SUMIFS('Base alcaldía'!$D$2:$D$577,'Base alcaldía'!$C$2:$C$577,"q) 80 a 84 años",'Base alcaldía'!$B$2:$B$577,"Mujer")</x:f>
        <x:v>71386</x:v>
      </x:c>
      <x:c r="F34" s="4"/>
      <x:c r="G34" s="4"/>
      <x:c r="H34" s="4"/>
      <x:c r="I34" s="4"/>
      <x:c r="J34" s="4"/>
      <x:c r="K34" s="4"/>
      <x:c r="L34" s="4"/>
      <x:c r="M34" s="4"/>
      <x:c r="N34" s="4"/>
    </x:row>
    <x:row r="35" ht="20" customHeight="1">
      <x:c r="A35" s="92" t="str">
        <x:v>85 años y más</x:v>
      </x:c>
      <x:c r="B35" s="93" t="n">
        <x:f>SUMIFS('Base alcaldía'!$D$2:$D$577,'Base alcaldía'!$C$2:$C$577,"r) 85 años y más")</x:f>
        <x:v>105470</x:v>
      </x:c>
      <x:c r="C35" s="94" t="n">
        <x:f>B35/$B$5</x:f>
        <x:v>0.011463734188318274</x:v>
      </x:c>
      <x:c r="D35" s="93" t="n">
        <x:f>SUMIFS('Base alcaldía'!$D$2:$D$577,'Base alcaldía'!$C$2:$C$577,"r) 85 años y más",'Base alcaldía'!$B$2:$B$577,"Hombre")</x:f>
        <x:v>36668</x:v>
      </x:c>
      <x:c r="E35" s="93" t="n">
        <x:f>SUMIFS('Base alcaldía'!$D$2:$D$577,'Base alcaldía'!$C$2:$C$577,"r) 85 años y más",'Base alcaldía'!$B$2:$B$577,"Mujer")</x:f>
        <x:v>68802</x:v>
      </x:c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</x:sheetData>
  <x:pageMargins left="0.7" right="0.7" top="0.75" bottom="0.75" header="0.3" footer="0.3"/>
  <x:drawing xmlns:r="http://schemas.openxmlformats.org/officeDocument/2006/relationships" r:id="R0aa77eea0acb4920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5" hidden="0" customWidth="1"/>
    <x:col min="8" max="8" width="10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  <x:col min="13" max="13" width="12" hidden="0" customWidth="1"/>
    <x:col min="14" max="14" width="24" hidden="0" customWidth="1"/>
    <x:col min="15" max="15" width="3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>
      <x:c r="A2" s="161" t="str">
        <x:v>Población por etapa de vida y alcaldía, 2020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  <x:c r="N2" s="132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>
      <x:c r="A3" s="162" t="str">
        <x:v>Los grupos 0-17, 18-29, 30-59 y 60+ cubren toda la población. Los cortes dentro de 15-19 se estiman por prorrateo uniforme.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134"/>
      <x:c r="B4" s="134"/>
      <x:c r="C4" s="134"/>
      <x:c r="D4" s="134"/>
      <x:c r="E4" s="134"/>
      <x:c r="F4" s="134"/>
      <x:c r="G4" s="134"/>
      <x:c r="H4" s="134"/>
      <x:c r="I4" s="134"/>
      <x:c r="J4" s="134"/>
      <x:c r="K4" s="134"/>
      <x:c r="L4" s="134"/>
      <x:c r="M4" s="134"/>
      <x:c r="N4" s="134"/>
      <x:c r="O4" s="75"/>
      <x:c r="P4" s="75"/>
      <x:c r="Q4" s="75"/>
      <x:c r="R4" s="75"/>
      <x:c r="S4" s="75"/>
      <x:c r="T4" s="75"/>
      <x:c r="U4" s="75"/>
      <x:c r="V4" s="75"/>
      <x:c r="W4" s="75"/>
      <x:c r="X4" s="75"/>
    </x:row>
    <x:row r="5" ht="30" customHeight="1">
      <x:c r="A5" s="177" t="str">
        <x:v>Alcaldía</x:v>
      </x:c>
      <x:c r="B5" s="177" t="str">
        <x:v>Población total</x:v>
      </x:c>
      <x:c r="C5" s="177" t="str">
        <x:v>0-17</x:v>
      </x:c>
      <x:c r="D5" s="177" t="str">
        <x:v>% 0-17</x:v>
      </x:c>
      <x:c r="E5" s="177" t="str">
        <x:v>18-29</x:v>
      </x:c>
      <x:c r="F5" s="177" t="str">
        <x:v>% 18-29</x:v>
      </x:c>
      <x:c r="G5" s="177" t="str">
        <x:v>30-59</x:v>
      </x:c>
      <x:c r="H5" s="177" t="str">
        <x:v>% 30-59</x:v>
      </x:c>
      <x:c r="I5" s="177" t="str">
        <x:v>60+</x:v>
      </x:c>
      <x:c r="J5" s="177" t="str">
        <x:v>% 60+</x:v>
      </x:c>
      <x:c r="K5" s="177" t="str">
        <x:v>65+</x:v>
      </x:c>
      <x:c r="L5" s="177" t="str">
        <x:v>% 65+</x:v>
      </x:c>
      <x:c r="M5" s="177" t="str">
        <x:v>Control</x:v>
      </x:c>
      <x:c r="N5" s="177" t="str">
        <x:v>Clave en fuente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</x:row>
    <x:row r="6" ht="21" customHeight="1">
      <x:c r="A6" s="265" t="str">
        <x:v>Álvaro Obregón</x:v>
      </x:c>
      <x:c r="B6" s="266" t="n">
        <x:f>SUMIFS('Base alcaldía'!$D$2:$D$577,'Base alcaldía'!$A$2:$A$577,$N6)</x:f>
        <x:v>758314</x:v>
      </x:c>
      <x:c r="C6" s="266" t="n">
        <x:f>SUMIFS('Base alcaldía'!$D$2:$D$577,'Base alcaldía'!$A$2:$A$577,$N6,'Base alcaldía'!$C$2:$C$577,"a) 0 a 4 años")+SUMIFS('Base alcaldía'!$D$2:$D$577,'Base alcaldía'!$A$2:$A$577,$N6,'Base alcaldía'!$C$2:$C$577,"b) 5 a 9 años")+SUMIFS('Base alcaldía'!$D$2:$D$577,'Base alcaldía'!$A$2:$A$577,$N6,'Base alcaldía'!$C$2:$C$577,"c) 10 a 14 años")+SUMIFS('Base alcaldía'!$D$2:$D$577,'Base alcaldía'!$A$2:$A$577,$N6,'Base alcaldía'!$C$2:$C$577,"d) 15 a 19 años")*3/5</x:f>
        <x:v>168960.8</x:v>
      </x:c>
      <x:c r="D6" s="267" t="n">
        <x:f>C6/B6</x:f>
        <x:v>0.22281113100905428</x:v>
      </x:c>
      <x:c r="E6" s="266" t="n">
        <x:f>SUMIFS('Base alcaldía'!$D$2:$D$577,'Base alcaldía'!$A$2:$A$577,$N6,'Base alcaldía'!$C$2:$C$577,"d) 15 a 19 años")*2/5+SUMIFS('Base alcaldía'!$D$2:$D$577,'Base alcaldía'!$A$2:$A$577,$N6,'Base alcaldía'!$C$2:$C$577,"e) 20 a 24 años")+SUMIFS('Base alcaldía'!$D$2:$D$577,'Base alcaldía'!$A$2:$A$577,$N6,'Base alcaldía'!$C$2:$C$577,"f) 25 a 29 años")</x:f>
        <x:v>142588.2</x:v>
      </x:c>
      <x:c r="F6" s="267" t="n">
        <x:f>E6/B6</x:f>
        <x:v>0.18803318941757638</x:v>
      </x:c>
      <x:c r="G6" s="266" t="n">
        <x:f>SUMIFS('Base alcaldía'!$D$2:$D$577,'Base alcaldía'!$A$2:$A$577,$N6,'Base alcaldía'!$C$2:$C$577,"g) 30 a 34 años")+SUMIFS('Base alcaldía'!$D$2:$D$577,'Base alcaldía'!$A$2:$A$577,$N6,'Base alcaldía'!$C$2:$C$577,"h) 35 a 39 años")+SUMIFS('Base alcaldía'!$D$2:$D$577,'Base alcaldía'!$A$2:$A$577,$N6,'Base alcaldía'!$C$2:$C$577,"i) 40 a 44 años")+SUMIFS('Base alcaldía'!$D$2:$D$577,'Base alcaldía'!$A$2:$A$577,$N6,'Base alcaldía'!$C$2:$C$577,"j) 45 a 49 años")+SUMIFS('Base alcaldía'!$D$2:$D$577,'Base alcaldía'!$A$2:$A$577,$N6,'Base alcaldía'!$C$2:$C$577,"k) 50 a 54 años")+SUMIFS('Base alcaldía'!$D$2:$D$577,'Base alcaldía'!$A$2:$A$577,$N6,'Base alcaldía'!$C$2:$C$577,"l) 55 a 59 años")</x:f>
        <x:v>324446</x:v>
      </x:c>
      <x:c r="H6" s="267" t="n">
        <x:f>G6/B6</x:f>
        <x:v>0.4278517869906134</x:v>
      </x:c>
      <x:c r="I6" s="266" t="n">
        <x:f>SUMIFS('Base alcaldía'!$D$2:$D$577,'Base alcaldía'!$A$2:$A$577,$N6,'Base alcaldía'!$C$2:$C$577,"m) 60 a 64 años")+SUMIFS('Base alcaldía'!$D$2:$D$577,'Base alcaldía'!$A$2:$A$577,$N6,'Base alcaldía'!$C$2:$C$577,"n) 65 a 69 años")+SUMIFS('Base alcaldía'!$D$2:$D$577,'Base alcaldía'!$A$2:$A$577,$N6,'Base alcaldía'!$C$2:$C$577,"o) 70 a 74 años")+SUMIFS('Base alcaldía'!$D$2:$D$577,'Base alcaldía'!$A$2:$A$577,$N6,'Base alcaldía'!$C$2:$C$577,"p) 75 a 79 años")+SUMIFS('Base alcaldía'!$D$2:$D$577,'Base alcaldía'!$A$2:$A$577,$N6,'Base alcaldía'!$C$2:$C$577,"q) 80 a 84 años")+SUMIFS('Base alcaldía'!$D$2:$D$577,'Base alcaldía'!$A$2:$A$577,$N6,'Base alcaldía'!$C$2:$C$577,"r) 85 años y más")</x:f>
        <x:v>122319</x:v>
      </x:c>
      <x:c r="J6" s="267" t="n">
        <x:f>I6/B6</x:f>
        <x:v>0.16130389258275596</x:v>
      </x:c>
      <x:c r="K6" s="266" t="n">
        <x:f>SUMIFS('Base alcaldía'!$D$2:$D$577,'Base alcaldía'!$A$2:$A$577,$N6,'Base alcaldía'!$C$2:$C$577,"n) 65 a 69 años")+SUMIFS('Base alcaldía'!$D$2:$D$577,'Base alcaldía'!$A$2:$A$577,$N6,'Base alcaldía'!$C$2:$C$577,"o) 70 a 74 años")+SUMIFS('Base alcaldía'!$D$2:$D$577,'Base alcaldía'!$A$2:$A$577,$N6,'Base alcaldía'!$C$2:$C$577,"p) 75 a 79 años")+SUMIFS('Base alcaldía'!$D$2:$D$577,'Base alcaldía'!$A$2:$A$577,$N6,'Base alcaldía'!$C$2:$C$577,"q) 80 a 84 años")+SUMIFS('Base alcaldía'!$D$2:$D$577,'Base alcaldía'!$A$2:$A$577,$N6,'Base alcaldía'!$C$2:$C$577,"r) 85 años y más")</x:f>
        <x:v>83813</x:v>
      </x:c>
      <x:c r="L6" s="267" t="n">
        <x:f>K6/B6</x:f>
        <x:v>0.11052545515446108</x:v>
      </x:c>
      <x:c r="M6" s="300" t="n">
        <x:f>SUM(C6,E6,G6,I6)-B6</x:f>
        <x:v>0</x:v>
      </x:c>
      <x:c r="N6" s="289" t="str">
        <x:v>ALVARO OBREGON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</x:row>
    <x:row r="7" ht="21" customHeight="1">
      <x:c r="A7" s="269" t="str">
        <x:v>Azcapotzalco</x:v>
      </x:c>
      <x:c r="B7" s="270" t="n">
        <x:f>SUMIFS('Base alcaldía'!$D$2:$D$577,'Base alcaldía'!$A$2:$A$577,$N7)</x:f>
        <x:v>431840</x:v>
      </x:c>
      <x:c r="C7" s="270" t="n">
        <x:f>SUMIFS('Base alcaldía'!$D$2:$D$577,'Base alcaldía'!$A$2:$A$577,$N7,'Base alcaldía'!$C$2:$C$577,"a) 0 a 4 años")+SUMIFS('Base alcaldía'!$D$2:$D$577,'Base alcaldía'!$A$2:$A$577,$N7,'Base alcaldía'!$C$2:$C$577,"b) 5 a 9 años")+SUMIFS('Base alcaldía'!$D$2:$D$577,'Base alcaldía'!$A$2:$A$577,$N7,'Base alcaldía'!$C$2:$C$577,"c) 10 a 14 años")+SUMIFS('Base alcaldía'!$D$2:$D$577,'Base alcaldía'!$A$2:$A$577,$N7,'Base alcaldía'!$C$2:$C$577,"d) 15 a 19 años")*3/5</x:f>
        <x:v>87155.8</x:v>
      </x:c>
      <x:c r="D7" s="271" t="n">
        <x:f>C7/B7</x:f>
        <x:v>0.20182428677287886</x:v>
      </x:c>
      <x:c r="E7" s="270" t="n">
        <x:f>SUMIFS('Base alcaldía'!$D$2:$D$577,'Base alcaldía'!$A$2:$A$577,$N7,'Base alcaldía'!$C$2:$C$577,"d) 15 a 19 años")*2/5+SUMIFS('Base alcaldía'!$D$2:$D$577,'Base alcaldía'!$A$2:$A$577,$N7,'Base alcaldía'!$C$2:$C$577,"e) 20 a 24 años")+SUMIFS('Base alcaldía'!$D$2:$D$577,'Base alcaldía'!$A$2:$A$577,$N7,'Base alcaldía'!$C$2:$C$577,"f) 25 a 29 años")</x:f>
        <x:v>77054.2</x:v>
      </x:c>
      <x:c r="F7" s="271" t="n">
        <x:f>E7/B7</x:f>
        <x:v>0.17843228973693961</x:v>
      </x:c>
      <x:c r="G7" s="270" t="n">
        <x:f>SUMIFS('Base alcaldía'!$D$2:$D$577,'Base alcaldía'!$A$2:$A$577,$N7,'Base alcaldía'!$C$2:$C$577,"g) 30 a 34 años")+SUMIFS('Base alcaldía'!$D$2:$D$577,'Base alcaldía'!$A$2:$A$577,$N7,'Base alcaldía'!$C$2:$C$577,"h) 35 a 39 años")+SUMIFS('Base alcaldía'!$D$2:$D$577,'Base alcaldía'!$A$2:$A$577,$N7,'Base alcaldía'!$C$2:$C$577,"i) 40 a 44 años")+SUMIFS('Base alcaldía'!$D$2:$D$577,'Base alcaldía'!$A$2:$A$577,$N7,'Base alcaldía'!$C$2:$C$577,"j) 45 a 49 años")+SUMIFS('Base alcaldía'!$D$2:$D$577,'Base alcaldía'!$A$2:$A$577,$N7,'Base alcaldía'!$C$2:$C$577,"k) 50 a 54 años")+SUMIFS('Base alcaldía'!$D$2:$D$577,'Base alcaldía'!$A$2:$A$577,$N7,'Base alcaldía'!$C$2:$C$577,"l) 55 a 59 años")</x:f>
        <x:v>188980</x:v>
      </x:c>
      <x:c r="H7" s="271" t="n">
        <x:f>G7/B7</x:f>
        <x:v>0.4376157836235643</x:v>
      </x:c>
      <x:c r="I7" s="270" t="n">
        <x:f>SUMIFS('Base alcaldía'!$D$2:$D$577,'Base alcaldía'!$A$2:$A$577,$N7,'Base alcaldía'!$C$2:$C$577,"m) 60 a 64 años")+SUMIFS('Base alcaldía'!$D$2:$D$577,'Base alcaldía'!$A$2:$A$577,$N7,'Base alcaldía'!$C$2:$C$577,"n) 65 a 69 años")+SUMIFS('Base alcaldía'!$D$2:$D$577,'Base alcaldía'!$A$2:$A$577,$N7,'Base alcaldía'!$C$2:$C$577,"o) 70 a 74 años")+SUMIFS('Base alcaldía'!$D$2:$D$577,'Base alcaldía'!$A$2:$A$577,$N7,'Base alcaldía'!$C$2:$C$577,"p) 75 a 79 años")+SUMIFS('Base alcaldía'!$D$2:$D$577,'Base alcaldía'!$A$2:$A$577,$N7,'Base alcaldía'!$C$2:$C$577,"q) 80 a 84 años")+SUMIFS('Base alcaldía'!$D$2:$D$577,'Base alcaldía'!$A$2:$A$577,$N7,'Base alcaldía'!$C$2:$C$577,"r) 85 años y más")</x:f>
        <x:v>78650</x:v>
      </x:c>
      <x:c r="J7" s="271" t="n">
        <x:f>I7/B7</x:f>
        <x:v>0.18212763986661726</x:v>
      </x:c>
      <x:c r="K7" s="270" t="n">
        <x:f>SUMIFS('Base alcaldía'!$D$2:$D$577,'Base alcaldía'!$A$2:$A$577,$N7,'Base alcaldía'!$C$2:$C$577,"n) 65 a 69 años")+SUMIFS('Base alcaldía'!$D$2:$D$577,'Base alcaldía'!$A$2:$A$577,$N7,'Base alcaldía'!$C$2:$C$577,"o) 70 a 74 años")+SUMIFS('Base alcaldía'!$D$2:$D$577,'Base alcaldía'!$A$2:$A$577,$N7,'Base alcaldía'!$C$2:$C$577,"p) 75 a 79 años")+SUMIFS('Base alcaldía'!$D$2:$D$577,'Base alcaldía'!$A$2:$A$577,$N7,'Base alcaldía'!$C$2:$C$577,"q) 80 a 84 años")+SUMIFS('Base alcaldía'!$D$2:$D$577,'Base alcaldía'!$A$2:$A$577,$N7,'Base alcaldía'!$C$2:$C$577,"r) 85 años y más")</x:f>
        <x:v>54863</x:v>
      </x:c>
      <x:c r="L7" s="271" t="n">
        <x:f>K7/B7</x:f>
        <x:v>0.12704473879214523</x:v>
      </x:c>
      <x:c r="M7" s="301" t="n">
        <x:f>SUM(C7,E7,G7,I7)-B7</x:f>
        <x:v>0</x:v>
      </x:c>
      <x:c r="N7" s="290" t="str">
        <x:v>AZCAPOTZALCO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</x:row>
    <x:row r="8" ht="21" customHeight="1">
      <x:c r="A8" s="269" t="str">
        <x:v>Benito Juárez</x:v>
      </x:c>
      <x:c r="B8" s="270" t="n">
        <x:f>SUMIFS('Base alcaldía'!$D$2:$D$577,'Base alcaldía'!$A$2:$A$577,$N8)</x:f>
        <x:v>434115</x:v>
      </x:c>
      <x:c r="C8" s="270" t="n">
        <x:f>SUMIFS('Base alcaldía'!$D$2:$D$577,'Base alcaldía'!$A$2:$A$577,$N8,'Base alcaldía'!$C$2:$C$577,"a) 0 a 4 años")+SUMIFS('Base alcaldía'!$D$2:$D$577,'Base alcaldía'!$A$2:$A$577,$N8,'Base alcaldía'!$C$2:$C$577,"b) 5 a 9 años")+SUMIFS('Base alcaldía'!$D$2:$D$577,'Base alcaldía'!$A$2:$A$577,$N8,'Base alcaldía'!$C$2:$C$577,"c) 10 a 14 años")+SUMIFS('Base alcaldía'!$D$2:$D$577,'Base alcaldía'!$A$2:$A$577,$N8,'Base alcaldía'!$C$2:$C$577,"d) 15 a 19 años")*3/5</x:f>
        <x:v>62625</x:v>
      </x:c>
      <x:c r="D8" s="271" t="n">
        <x:f>C8/B8</x:f>
        <x:v>0.1442590097094088</x:v>
      </x:c>
      <x:c r="E8" s="270" t="n">
        <x:f>SUMIFS('Base alcaldía'!$D$2:$D$577,'Base alcaldía'!$A$2:$A$577,$N8,'Base alcaldía'!$C$2:$C$577,"d) 15 a 19 años")*2/5+SUMIFS('Base alcaldía'!$D$2:$D$577,'Base alcaldía'!$A$2:$A$577,$N8,'Base alcaldía'!$C$2:$C$577,"e) 20 a 24 años")+SUMIFS('Base alcaldía'!$D$2:$D$577,'Base alcaldía'!$A$2:$A$577,$N8,'Base alcaldía'!$C$2:$C$577,"f) 25 a 29 años")</x:f>
        <x:v>69874</x:v>
      </x:c>
      <x:c r="F8" s="271" t="n">
        <x:f>E8/B8</x:f>
        <x:v>0.1609573500109418</x:v>
      </x:c>
      <x:c r="G8" s="270" t="n">
        <x:f>SUMIFS('Base alcaldía'!$D$2:$D$577,'Base alcaldía'!$A$2:$A$577,$N8,'Base alcaldía'!$C$2:$C$577,"g) 30 a 34 años")+SUMIFS('Base alcaldía'!$D$2:$D$577,'Base alcaldía'!$A$2:$A$577,$N8,'Base alcaldía'!$C$2:$C$577,"h) 35 a 39 años")+SUMIFS('Base alcaldía'!$D$2:$D$577,'Base alcaldía'!$A$2:$A$577,$N8,'Base alcaldía'!$C$2:$C$577,"i) 40 a 44 años")+SUMIFS('Base alcaldía'!$D$2:$D$577,'Base alcaldía'!$A$2:$A$577,$N8,'Base alcaldía'!$C$2:$C$577,"j) 45 a 49 años")+SUMIFS('Base alcaldía'!$D$2:$D$577,'Base alcaldía'!$A$2:$A$577,$N8,'Base alcaldía'!$C$2:$C$577,"k) 50 a 54 años")+SUMIFS('Base alcaldía'!$D$2:$D$577,'Base alcaldía'!$A$2:$A$577,$N8,'Base alcaldía'!$C$2:$C$577,"l) 55 a 59 años")</x:f>
        <x:v>214272</x:v>
      </x:c>
      <x:c r="H8" s="271" t="n">
        <x:f>G8/B8</x:f>
        <x:v>0.49358349746035035</x:v>
      </x:c>
      <x:c r="I8" s="270" t="n">
        <x:f>SUMIFS('Base alcaldía'!$D$2:$D$577,'Base alcaldía'!$A$2:$A$577,$N8,'Base alcaldía'!$C$2:$C$577,"m) 60 a 64 años")+SUMIFS('Base alcaldía'!$D$2:$D$577,'Base alcaldía'!$A$2:$A$577,$N8,'Base alcaldía'!$C$2:$C$577,"n) 65 a 69 años")+SUMIFS('Base alcaldía'!$D$2:$D$577,'Base alcaldía'!$A$2:$A$577,$N8,'Base alcaldía'!$C$2:$C$577,"o) 70 a 74 años")+SUMIFS('Base alcaldía'!$D$2:$D$577,'Base alcaldía'!$A$2:$A$577,$N8,'Base alcaldía'!$C$2:$C$577,"p) 75 a 79 años")+SUMIFS('Base alcaldía'!$D$2:$D$577,'Base alcaldía'!$A$2:$A$577,$N8,'Base alcaldía'!$C$2:$C$577,"q) 80 a 84 años")+SUMIFS('Base alcaldía'!$D$2:$D$577,'Base alcaldía'!$A$2:$A$577,$N8,'Base alcaldía'!$C$2:$C$577,"r) 85 años y más")</x:f>
        <x:v>87344</x:v>
      </x:c>
      <x:c r="J8" s="271" t="n">
        <x:f>I8/B8</x:f>
        <x:v>0.20120014281929904</x:v>
      </x:c>
      <x:c r="K8" s="270" t="n">
        <x:f>SUMIFS('Base alcaldía'!$D$2:$D$577,'Base alcaldía'!$A$2:$A$577,$N8,'Base alcaldía'!$C$2:$C$577,"n) 65 a 69 años")+SUMIFS('Base alcaldía'!$D$2:$D$577,'Base alcaldía'!$A$2:$A$577,$N8,'Base alcaldía'!$C$2:$C$577,"o) 70 a 74 años")+SUMIFS('Base alcaldía'!$D$2:$D$577,'Base alcaldía'!$A$2:$A$577,$N8,'Base alcaldía'!$C$2:$C$577,"p) 75 a 79 años")+SUMIFS('Base alcaldía'!$D$2:$D$577,'Base alcaldía'!$A$2:$A$577,$N8,'Base alcaldía'!$C$2:$C$577,"q) 80 a 84 años")+SUMIFS('Base alcaldía'!$D$2:$D$577,'Base alcaldía'!$A$2:$A$577,$N8,'Base alcaldía'!$C$2:$C$577,"r) 85 años y más")</x:f>
        <x:v>61593</x:v>
      </x:c>
      <x:c r="L8" s="271" t="n">
        <x:f>K8/B8</x:f>
        <x:v>0.14188175944162262</x:v>
      </x:c>
      <x:c r="M8" s="301" t="n">
        <x:f>SUM(C8,E8,G8,I8)-B8</x:f>
        <x:v>0</x:v>
      </x:c>
      <x:c r="N8" s="290" t="str">
        <x:v>BENITO JUAREZ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</x:row>
    <x:row r="9" ht="21" customHeight="1">
      <x:c r="A9" s="269" t="str">
        <x:v>Coyoacán</x:v>
      </x:c>
      <x:c r="B9" s="270" t="n">
        <x:f>SUMIFS('Base alcaldía'!$D$2:$D$577,'Base alcaldía'!$A$2:$A$577,$N9)</x:f>
        <x:v>614319</x:v>
      </x:c>
      <x:c r="C9" s="270" t="n">
        <x:f>SUMIFS('Base alcaldía'!$D$2:$D$577,'Base alcaldía'!$A$2:$A$577,$N9,'Base alcaldía'!$C$2:$C$577,"a) 0 a 4 años")+SUMIFS('Base alcaldía'!$D$2:$D$577,'Base alcaldía'!$A$2:$A$577,$N9,'Base alcaldía'!$C$2:$C$577,"b) 5 a 9 años")+SUMIFS('Base alcaldía'!$D$2:$D$577,'Base alcaldía'!$A$2:$A$577,$N9,'Base alcaldía'!$C$2:$C$577,"c) 10 a 14 años")+SUMIFS('Base alcaldía'!$D$2:$D$577,'Base alcaldía'!$A$2:$A$577,$N9,'Base alcaldía'!$C$2:$C$577,"d) 15 a 19 años")*3/5</x:f>
        <x:v>114966.4</x:v>
      </x:c>
      <x:c r="D9" s="271" t="n">
        <x:f>C9/B9</x:f>
        <x:v>0.18714446403253032</x:v>
      </x:c>
      <x:c r="E9" s="270" t="n">
        <x:f>SUMIFS('Base alcaldía'!$D$2:$D$577,'Base alcaldía'!$A$2:$A$577,$N9,'Base alcaldía'!$C$2:$C$577,"d) 15 a 19 años")*2/5+SUMIFS('Base alcaldía'!$D$2:$D$577,'Base alcaldía'!$A$2:$A$577,$N9,'Base alcaldía'!$C$2:$C$577,"e) 20 a 24 años")+SUMIFS('Base alcaldía'!$D$2:$D$577,'Base alcaldía'!$A$2:$A$577,$N9,'Base alcaldía'!$C$2:$C$577,"f) 25 a 29 años")</x:f>
        <x:v>110634.6</x:v>
      </x:c>
      <x:c r="F9" s="271" t="n">
        <x:f>E9/B9</x:f>
        <x:v>0.1800930786773647</x:v>
      </x:c>
      <x:c r="G9" s="270" t="n">
        <x:f>SUMIFS('Base alcaldía'!$D$2:$D$577,'Base alcaldía'!$A$2:$A$577,$N9,'Base alcaldía'!$C$2:$C$577,"g) 30 a 34 años")+SUMIFS('Base alcaldía'!$D$2:$D$577,'Base alcaldía'!$A$2:$A$577,$N9,'Base alcaldía'!$C$2:$C$577,"h) 35 a 39 años")+SUMIFS('Base alcaldía'!$D$2:$D$577,'Base alcaldía'!$A$2:$A$577,$N9,'Base alcaldía'!$C$2:$C$577,"i) 40 a 44 años")+SUMIFS('Base alcaldía'!$D$2:$D$577,'Base alcaldía'!$A$2:$A$577,$N9,'Base alcaldía'!$C$2:$C$577,"j) 45 a 49 años")+SUMIFS('Base alcaldía'!$D$2:$D$577,'Base alcaldía'!$A$2:$A$577,$N9,'Base alcaldía'!$C$2:$C$577,"k) 50 a 54 años")+SUMIFS('Base alcaldía'!$D$2:$D$577,'Base alcaldía'!$A$2:$A$577,$N9,'Base alcaldía'!$C$2:$C$577,"l) 55 a 59 años")</x:f>
        <x:v>262126</x:v>
      </x:c>
      <x:c r="H9" s="271" t="n">
        <x:f>G9/B9</x:f>
        <x:v>0.4266936233455257</x:v>
      </x:c>
      <x:c r="I9" s="270" t="n">
        <x:f>SUMIFS('Base alcaldía'!$D$2:$D$577,'Base alcaldía'!$A$2:$A$577,$N9,'Base alcaldía'!$C$2:$C$577,"m) 60 a 64 años")+SUMIFS('Base alcaldía'!$D$2:$D$577,'Base alcaldía'!$A$2:$A$577,$N9,'Base alcaldía'!$C$2:$C$577,"n) 65 a 69 años")+SUMIFS('Base alcaldía'!$D$2:$D$577,'Base alcaldía'!$A$2:$A$577,$N9,'Base alcaldía'!$C$2:$C$577,"o) 70 a 74 años")+SUMIFS('Base alcaldía'!$D$2:$D$577,'Base alcaldía'!$A$2:$A$577,$N9,'Base alcaldía'!$C$2:$C$577,"p) 75 a 79 años")+SUMIFS('Base alcaldía'!$D$2:$D$577,'Base alcaldía'!$A$2:$A$577,$N9,'Base alcaldía'!$C$2:$C$577,"q) 80 a 84 años")+SUMIFS('Base alcaldía'!$D$2:$D$577,'Base alcaldía'!$A$2:$A$577,$N9,'Base alcaldía'!$C$2:$C$577,"r) 85 años y más")</x:f>
        <x:v>126592</x:v>
      </x:c>
      <x:c r="J9" s="271" t="n">
        <x:f>I9/B9</x:f>
        <x:v>0.20606883394457928</x:v>
      </x:c>
      <x:c r="K9" s="270" t="n">
        <x:f>SUMIFS('Base alcaldía'!$D$2:$D$577,'Base alcaldía'!$A$2:$A$577,$N9,'Base alcaldía'!$C$2:$C$577,"n) 65 a 69 años")+SUMIFS('Base alcaldía'!$D$2:$D$577,'Base alcaldía'!$A$2:$A$577,$N9,'Base alcaldía'!$C$2:$C$577,"o) 70 a 74 años")+SUMIFS('Base alcaldía'!$D$2:$D$577,'Base alcaldía'!$A$2:$A$577,$N9,'Base alcaldía'!$C$2:$C$577,"p) 75 a 79 años")+SUMIFS('Base alcaldía'!$D$2:$D$577,'Base alcaldía'!$A$2:$A$577,$N9,'Base alcaldía'!$C$2:$C$577,"q) 80 a 84 años")+SUMIFS('Base alcaldía'!$D$2:$D$577,'Base alcaldía'!$A$2:$A$577,$N9,'Base alcaldía'!$C$2:$C$577,"r) 85 años y más")</x:f>
        <x:v>90448</x:v>
      </x:c>
      <x:c r="L9" s="271" t="n">
        <x:f>K9/B9</x:f>
        <x:v>0.1472329522609589</x:v>
      </x:c>
      <x:c r="M9" s="301" t="n">
        <x:f>SUM(C9,E9,G9,I9)-B9</x:f>
        <x:v>0</x:v>
      </x:c>
      <x:c r="N9" s="290" t="str">
        <x:v>COYOACAN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</x:row>
    <x:row r="10" ht="21" customHeight="1">
      <x:c r="A10" s="269" t="str">
        <x:v>Cuajimalpa de Morelos</x:v>
      </x:c>
      <x:c r="B10" s="270" t="n">
        <x:f>SUMIFS('Base alcaldía'!$D$2:$D$577,'Base alcaldía'!$A$2:$A$577,$N10)</x:f>
        <x:v>217570</x:v>
      </x:c>
      <x:c r="C10" s="270" t="n">
        <x:f>SUMIFS('Base alcaldía'!$D$2:$D$577,'Base alcaldía'!$A$2:$A$577,$N10,'Base alcaldía'!$C$2:$C$577,"a) 0 a 4 años")+SUMIFS('Base alcaldía'!$D$2:$D$577,'Base alcaldía'!$A$2:$A$577,$N10,'Base alcaldía'!$C$2:$C$577,"b) 5 a 9 años")+SUMIFS('Base alcaldía'!$D$2:$D$577,'Base alcaldía'!$A$2:$A$577,$N10,'Base alcaldía'!$C$2:$C$577,"c) 10 a 14 años")+SUMIFS('Base alcaldía'!$D$2:$D$577,'Base alcaldía'!$A$2:$A$577,$N10,'Base alcaldía'!$C$2:$C$577,"d) 15 a 19 años")*3/5</x:f>
        <x:v>55372.6</x:v>
      </x:c>
      <x:c r="D10" s="271" t="n">
        <x:f>C10/B10</x:f>
        <x:v>0.2545047570896723</x:v>
      </x:c>
      <x:c r="E10" s="270" t="n">
        <x:f>SUMIFS('Base alcaldía'!$D$2:$D$577,'Base alcaldía'!$A$2:$A$577,$N10,'Base alcaldía'!$C$2:$C$577,"d) 15 a 19 años")*2/5+SUMIFS('Base alcaldía'!$D$2:$D$577,'Base alcaldía'!$A$2:$A$577,$N10,'Base alcaldía'!$C$2:$C$577,"e) 20 a 24 años")+SUMIFS('Base alcaldía'!$D$2:$D$577,'Base alcaldía'!$A$2:$A$577,$N10,'Base alcaldía'!$C$2:$C$577,"f) 25 a 29 años")</x:f>
        <x:v>43454.4</x:v>
      </x:c>
      <x:c r="F10" s="271" t="n">
        <x:f>E10/B10</x:f>
        <x:v>0.19972606517442662</x:v>
      </x:c>
      <x:c r="G10" s="270" t="n">
        <x:f>SUMIFS('Base alcaldía'!$D$2:$D$577,'Base alcaldía'!$A$2:$A$577,$N10,'Base alcaldía'!$C$2:$C$577,"g) 30 a 34 años")+SUMIFS('Base alcaldía'!$D$2:$D$577,'Base alcaldía'!$A$2:$A$577,$N10,'Base alcaldía'!$C$2:$C$577,"h) 35 a 39 años")+SUMIFS('Base alcaldía'!$D$2:$D$577,'Base alcaldía'!$A$2:$A$577,$N10,'Base alcaldía'!$C$2:$C$577,"i) 40 a 44 años")+SUMIFS('Base alcaldía'!$D$2:$D$577,'Base alcaldía'!$A$2:$A$577,$N10,'Base alcaldía'!$C$2:$C$577,"j) 45 a 49 años")+SUMIFS('Base alcaldía'!$D$2:$D$577,'Base alcaldía'!$A$2:$A$577,$N10,'Base alcaldía'!$C$2:$C$577,"k) 50 a 54 años")+SUMIFS('Base alcaldía'!$D$2:$D$577,'Base alcaldía'!$A$2:$A$577,$N10,'Base alcaldía'!$C$2:$C$577,"l) 55 a 59 años")</x:f>
        <x:v>92940</x:v>
      </x:c>
      <x:c r="H10" s="271" t="n">
        <x:f>G10/B10</x:f>
        <x:v>0.4271728639058694</x:v>
      </x:c>
      <x:c r="I10" s="270" t="n">
        <x:f>SUMIFS('Base alcaldía'!$D$2:$D$577,'Base alcaldía'!$A$2:$A$577,$N10,'Base alcaldía'!$C$2:$C$577,"m) 60 a 64 años")+SUMIFS('Base alcaldía'!$D$2:$D$577,'Base alcaldía'!$A$2:$A$577,$N10,'Base alcaldía'!$C$2:$C$577,"n) 65 a 69 años")+SUMIFS('Base alcaldía'!$D$2:$D$577,'Base alcaldía'!$A$2:$A$577,$N10,'Base alcaldía'!$C$2:$C$577,"o) 70 a 74 años")+SUMIFS('Base alcaldía'!$D$2:$D$577,'Base alcaldía'!$A$2:$A$577,$N10,'Base alcaldía'!$C$2:$C$577,"p) 75 a 79 años")+SUMIFS('Base alcaldía'!$D$2:$D$577,'Base alcaldía'!$A$2:$A$577,$N10,'Base alcaldía'!$C$2:$C$577,"q) 80 a 84 años")+SUMIFS('Base alcaldía'!$D$2:$D$577,'Base alcaldía'!$A$2:$A$577,$N10,'Base alcaldía'!$C$2:$C$577,"r) 85 años y más")</x:f>
        <x:v>25803</x:v>
      </x:c>
      <x:c r="J10" s="271" t="n">
        <x:f>I10/B10</x:f>
        <x:v>0.11859631383003172</x:v>
      </x:c>
      <x:c r="K10" s="270" t="n">
        <x:f>SUMIFS('Base alcaldía'!$D$2:$D$577,'Base alcaldía'!$A$2:$A$577,$N10,'Base alcaldía'!$C$2:$C$577,"n) 65 a 69 años")+SUMIFS('Base alcaldía'!$D$2:$D$577,'Base alcaldía'!$A$2:$A$577,$N10,'Base alcaldía'!$C$2:$C$577,"o) 70 a 74 años")+SUMIFS('Base alcaldía'!$D$2:$D$577,'Base alcaldía'!$A$2:$A$577,$N10,'Base alcaldía'!$C$2:$C$577,"p) 75 a 79 años")+SUMIFS('Base alcaldía'!$D$2:$D$577,'Base alcaldía'!$A$2:$A$577,$N10,'Base alcaldía'!$C$2:$C$577,"q) 80 a 84 años")+SUMIFS('Base alcaldía'!$D$2:$D$577,'Base alcaldía'!$A$2:$A$577,$N10,'Base alcaldía'!$C$2:$C$577,"r) 85 años y más")</x:f>
        <x:v>16760</x:v>
      </x:c>
      <x:c r="L10" s="271" t="n">
        <x:f>K10/B10</x:f>
        <x:v>0.07703267913774878</x:v>
      </x:c>
      <x:c r="M10" s="301" t="n">
        <x:f>SUM(C10,E10,G10,I10)-B10</x:f>
        <x:v>0</x:v>
      </x:c>
      <x:c r="N10" s="290" t="str">
        <x:v>CUAJIMALPA DE MORELOS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</x:row>
    <x:row r="11" ht="21" customHeight="1">
      <x:c r="A11" s="269" t="str">
        <x:v>Cuauhtémoc</x:v>
      </x:c>
      <x:c r="B11" s="270" t="n">
        <x:f>SUMIFS('Base alcaldía'!$D$2:$D$577,'Base alcaldía'!$A$2:$A$577,$N11)</x:f>
        <x:v>545818</x:v>
      </x:c>
      <x:c r="C11" s="270" t="n">
        <x:f>SUMIFS('Base alcaldía'!$D$2:$D$577,'Base alcaldía'!$A$2:$A$577,$N11,'Base alcaldía'!$C$2:$C$577,"a) 0 a 4 años")+SUMIFS('Base alcaldía'!$D$2:$D$577,'Base alcaldía'!$A$2:$A$577,$N11,'Base alcaldía'!$C$2:$C$577,"b) 5 a 9 años")+SUMIFS('Base alcaldía'!$D$2:$D$577,'Base alcaldía'!$A$2:$A$577,$N11,'Base alcaldía'!$C$2:$C$577,"c) 10 a 14 años")+SUMIFS('Base alcaldía'!$D$2:$D$577,'Base alcaldía'!$A$2:$A$577,$N11,'Base alcaldía'!$C$2:$C$577,"d) 15 a 19 años")*3/5</x:f>
        <x:v>102543</x:v>
      </x:c>
      <x:c r="D11" s="271" t="n">
        <x:f>C11/B11</x:f>
        <x:v>0.18787031574627439</x:v>
      </x:c>
      <x:c r="E11" s="270" t="n">
        <x:f>SUMIFS('Base alcaldía'!$D$2:$D$577,'Base alcaldía'!$A$2:$A$577,$N11,'Base alcaldía'!$C$2:$C$577,"d) 15 a 19 años")*2/5+SUMIFS('Base alcaldía'!$D$2:$D$577,'Base alcaldía'!$A$2:$A$577,$N11,'Base alcaldía'!$C$2:$C$577,"e) 20 a 24 años")+SUMIFS('Base alcaldía'!$D$2:$D$577,'Base alcaldía'!$A$2:$A$577,$N11,'Base alcaldía'!$C$2:$C$577,"f) 25 a 29 años")</x:f>
        <x:v>101184</x:v>
      </x:c>
      <x:c r="F11" s="271" t="n">
        <x:f>E11/B11</x:f>
        <x:v>0.18538047481028475</x:v>
      </x:c>
      <x:c r="G11" s="270" t="n">
        <x:f>SUMIFS('Base alcaldía'!$D$2:$D$577,'Base alcaldía'!$A$2:$A$577,$N11,'Base alcaldía'!$C$2:$C$577,"g) 30 a 34 años")+SUMIFS('Base alcaldía'!$D$2:$D$577,'Base alcaldía'!$A$2:$A$577,$N11,'Base alcaldía'!$C$2:$C$577,"h) 35 a 39 años")+SUMIFS('Base alcaldía'!$D$2:$D$577,'Base alcaldía'!$A$2:$A$577,$N11,'Base alcaldía'!$C$2:$C$577,"i) 40 a 44 años")+SUMIFS('Base alcaldía'!$D$2:$D$577,'Base alcaldía'!$A$2:$A$577,$N11,'Base alcaldía'!$C$2:$C$577,"j) 45 a 49 años")+SUMIFS('Base alcaldía'!$D$2:$D$577,'Base alcaldía'!$A$2:$A$577,$N11,'Base alcaldía'!$C$2:$C$577,"k) 50 a 54 años")+SUMIFS('Base alcaldía'!$D$2:$D$577,'Base alcaldía'!$A$2:$A$577,$N11,'Base alcaldía'!$C$2:$C$577,"l) 55 a 59 años")</x:f>
        <x:v>248282</x:v>
      </x:c>
      <x:c r="H11" s="271" t="n">
        <x:f>G11/B11</x:f>
        <x:v>0.454880564583799</x:v>
      </x:c>
      <x:c r="I11" s="270" t="n">
        <x:f>SUMIFS('Base alcaldía'!$D$2:$D$577,'Base alcaldía'!$A$2:$A$577,$N11,'Base alcaldía'!$C$2:$C$577,"m) 60 a 64 años")+SUMIFS('Base alcaldía'!$D$2:$D$577,'Base alcaldía'!$A$2:$A$577,$N11,'Base alcaldía'!$C$2:$C$577,"n) 65 a 69 años")+SUMIFS('Base alcaldía'!$D$2:$D$577,'Base alcaldía'!$A$2:$A$577,$N11,'Base alcaldía'!$C$2:$C$577,"o) 70 a 74 años")+SUMIFS('Base alcaldía'!$D$2:$D$577,'Base alcaldía'!$A$2:$A$577,$N11,'Base alcaldía'!$C$2:$C$577,"p) 75 a 79 años")+SUMIFS('Base alcaldía'!$D$2:$D$577,'Base alcaldía'!$A$2:$A$577,$N11,'Base alcaldía'!$C$2:$C$577,"q) 80 a 84 años")+SUMIFS('Base alcaldía'!$D$2:$D$577,'Base alcaldía'!$A$2:$A$577,$N11,'Base alcaldía'!$C$2:$C$577,"r) 85 años y más")</x:f>
        <x:v>93809</x:v>
      </x:c>
      <x:c r="J11" s="271" t="n">
        <x:f>I11/B11</x:f>
        <x:v>0.17186864485964184</x:v>
      </x:c>
      <x:c r="K11" s="270" t="n">
        <x:f>SUMIFS('Base alcaldía'!$D$2:$D$577,'Base alcaldía'!$A$2:$A$577,$N11,'Base alcaldía'!$C$2:$C$577,"n) 65 a 69 años")+SUMIFS('Base alcaldía'!$D$2:$D$577,'Base alcaldía'!$A$2:$A$577,$N11,'Base alcaldía'!$C$2:$C$577,"o) 70 a 74 años")+SUMIFS('Base alcaldía'!$D$2:$D$577,'Base alcaldía'!$A$2:$A$577,$N11,'Base alcaldía'!$C$2:$C$577,"p) 75 a 79 años")+SUMIFS('Base alcaldía'!$D$2:$D$577,'Base alcaldía'!$A$2:$A$577,$N11,'Base alcaldía'!$C$2:$C$577,"q) 80 a 84 años")+SUMIFS('Base alcaldía'!$D$2:$D$577,'Base alcaldía'!$A$2:$A$577,$N11,'Base alcaldía'!$C$2:$C$577,"r) 85 años y más")</x:f>
        <x:v>64291</x:v>
      </x:c>
      <x:c r="L11" s="271" t="n">
        <x:f>K11/B11</x:f>
        <x:v>0.11778834703142806</x:v>
      </x:c>
      <x:c r="M11" s="301" t="n">
        <x:f>SUM(C11,E11,G11,I11)-B11</x:f>
        <x:v>0</x:v>
      </x:c>
      <x:c r="N11" s="290" t="str">
        <x:v>CUAUHTEMOC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</x:row>
    <x:row r="12" ht="21" customHeight="1">
      <x:c r="A12" s="269" t="str">
        <x:v>Gustavo A. Madero</x:v>
      </x:c>
      <x:c r="B12" s="270" t="n">
        <x:f>SUMIFS('Base alcaldía'!$D$2:$D$577,'Base alcaldía'!$A$2:$A$577,$N12)</x:f>
        <x:v>1173117</x:v>
      </x:c>
      <x:c r="C12" s="270" t="n">
        <x:f>SUMIFS('Base alcaldía'!$D$2:$D$577,'Base alcaldía'!$A$2:$A$577,$N12,'Base alcaldía'!$C$2:$C$577,"a) 0 a 4 años")+SUMIFS('Base alcaldía'!$D$2:$D$577,'Base alcaldía'!$A$2:$A$577,$N12,'Base alcaldía'!$C$2:$C$577,"b) 5 a 9 años")+SUMIFS('Base alcaldía'!$D$2:$D$577,'Base alcaldía'!$A$2:$A$577,$N12,'Base alcaldía'!$C$2:$C$577,"c) 10 a 14 años")+SUMIFS('Base alcaldía'!$D$2:$D$577,'Base alcaldía'!$A$2:$A$577,$N12,'Base alcaldía'!$C$2:$C$577,"d) 15 a 19 años")*3/5</x:f>
        <x:v>262944.8</x:v>
      </x:c>
      <x:c r="D12" s="271" t="n">
        <x:f>C12/B12</x:f>
        <x:v>0.22414200800090697</x:v>
      </x:c>
      <x:c r="E12" s="270" t="n">
        <x:f>SUMIFS('Base alcaldía'!$D$2:$D$577,'Base alcaldía'!$A$2:$A$577,$N12,'Base alcaldía'!$C$2:$C$577,"d) 15 a 19 años")*2/5+SUMIFS('Base alcaldía'!$D$2:$D$577,'Base alcaldía'!$A$2:$A$577,$N12,'Base alcaldía'!$C$2:$C$577,"e) 20 a 24 años")+SUMIFS('Base alcaldía'!$D$2:$D$577,'Base alcaldía'!$A$2:$A$577,$N12,'Base alcaldía'!$C$2:$C$577,"f) 25 a 29 años")</x:f>
        <x:v>216758.2</x:v>
      </x:c>
      <x:c r="F12" s="271" t="n">
        <x:f>E12/B12</x:f>
        <x:v>0.18477116945709593</x:v>
      </x:c>
      <x:c r="G12" s="270" t="n">
        <x:f>SUMIFS('Base alcaldía'!$D$2:$D$577,'Base alcaldía'!$A$2:$A$577,$N12,'Base alcaldía'!$C$2:$C$577,"g) 30 a 34 años")+SUMIFS('Base alcaldía'!$D$2:$D$577,'Base alcaldía'!$A$2:$A$577,$N12,'Base alcaldía'!$C$2:$C$577,"h) 35 a 39 años")+SUMIFS('Base alcaldía'!$D$2:$D$577,'Base alcaldía'!$A$2:$A$577,$N12,'Base alcaldía'!$C$2:$C$577,"i) 40 a 44 años")+SUMIFS('Base alcaldía'!$D$2:$D$577,'Base alcaldía'!$A$2:$A$577,$N12,'Base alcaldía'!$C$2:$C$577,"j) 45 a 49 años")+SUMIFS('Base alcaldía'!$D$2:$D$577,'Base alcaldía'!$A$2:$A$577,$N12,'Base alcaldía'!$C$2:$C$577,"k) 50 a 54 años")+SUMIFS('Base alcaldía'!$D$2:$D$577,'Base alcaldía'!$A$2:$A$577,$N12,'Base alcaldía'!$C$2:$C$577,"l) 55 a 59 años")</x:f>
        <x:v>489945</x:v>
      </x:c>
      <x:c r="H12" s="271" t="n">
        <x:f>G12/B12</x:f>
        <x:v>0.4176437644327036</x:v>
      </x:c>
      <x:c r="I12" s="270" t="n">
        <x:f>SUMIFS('Base alcaldía'!$D$2:$D$577,'Base alcaldía'!$A$2:$A$577,$N12,'Base alcaldía'!$C$2:$C$577,"m) 60 a 64 años")+SUMIFS('Base alcaldía'!$D$2:$D$577,'Base alcaldía'!$A$2:$A$577,$N12,'Base alcaldía'!$C$2:$C$577,"n) 65 a 69 años")+SUMIFS('Base alcaldía'!$D$2:$D$577,'Base alcaldía'!$A$2:$A$577,$N12,'Base alcaldía'!$C$2:$C$577,"o) 70 a 74 años")+SUMIFS('Base alcaldía'!$D$2:$D$577,'Base alcaldía'!$A$2:$A$577,$N12,'Base alcaldía'!$C$2:$C$577,"p) 75 a 79 años")+SUMIFS('Base alcaldía'!$D$2:$D$577,'Base alcaldía'!$A$2:$A$577,$N12,'Base alcaldía'!$C$2:$C$577,"q) 80 a 84 años")+SUMIFS('Base alcaldía'!$D$2:$D$577,'Base alcaldía'!$A$2:$A$577,$N12,'Base alcaldía'!$C$2:$C$577,"r) 85 años y más")</x:f>
        <x:v>203469</x:v>
      </x:c>
      <x:c r="J12" s="271" t="n">
        <x:f>I12/B12</x:f>
        <x:v>0.17344305810929345</x:v>
      </x:c>
      <x:c r="K12" s="270" t="n">
        <x:f>SUMIFS('Base alcaldía'!$D$2:$D$577,'Base alcaldía'!$A$2:$A$577,$N12,'Base alcaldía'!$C$2:$C$577,"n) 65 a 69 años")+SUMIFS('Base alcaldía'!$D$2:$D$577,'Base alcaldía'!$A$2:$A$577,$N12,'Base alcaldía'!$C$2:$C$577,"o) 70 a 74 años")+SUMIFS('Base alcaldía'!$D$2:$D$577,'Base alcaldía'!$A$2:$A$577,$N12,'Base alcaldía'!$C$2:$C$577,"p) 75 a 79 años")+SUMIFS('Base alcaldía'!$D$2:$D$577,'Base alcaldía'!$A$2:$A$577,$N12,'Base alcaldía'!$C$2:$C$577,"q) 80 a 84 años")+SUMIFS('Base alcaldía'!$D$2:$D$577,'Base alcaldía'!$A$2:$A$577,$N12,'Base alcaldía'!$C$2:$C$577,"r) 85 años y más")</x:f>
        <x:v>141375</x:v>
      </x:c>
      <x:c r="L12" s="271" t="n">
        <x:f>K12/B12</x:f>
        <x:v>0.12051227626911894</x:v>
      </x:c>
      <x:c r="M12" s="301" t="n">
        <x:f>SUM(C12,E12,G12,I12)-B12</x:f>
        <x:v>0</x:v>
      </x:c>
      <x:c r="N12" s="290" t="str">
        <x:v>GUSTAVO A. MADERO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</x:row>
    <x:row r="13" ht="21" customHeight="1">
      <x:c r="A13" s="269" t="str">
        <x:v>Iztacalco</x:v>
      </x:c>
      <x:c r="B13" s="270" t="n">
        <x:f>SUMIFS('Base alcaldía'!$D$2:$D$577,'Base alcaldía'!$A$2:$A$577,$N13)</x:f>
        <x:v>404517</x:v>
      </x:c>
      <x:c r="C13" s="270" t="n">
        <x:f>SUMIFS('Base alcaldía'!$D$2:$D$577,'Base alcaldía'!$A$2:$A$577,$N13,'Base alcaldía'!$C$2:$C$577,"a) 0 a 4 años")+SUMIFS('Base alcaldía'!$D$2:$D$577,'Base alcaldía'!$A$2:$A$577,$N13,'Base alcaldía'!$C$2:$C$577,"b) 5 a 9 años")+SUMIFS('Base alcaldía'!$D$2:$D$577,'Base alcaldía'!$A$2:$A$577,$N13,'Base alcaldía'!$C$2:$C$577,"c) 10 a 14 años")+SUMIFS('Base alcaldía'!$D$2:$D$577,'Base alcaldía'!$A$2:$A$577,$N13,'Base alcaldía'!$C$2:$C$577,"d) 15 a 19 años")*3/5</x:f>
        <x:v>85967.4</x:v>
      </x:c>
      <x:c r="D13" s="271" t="n">
        <x:f>C13/B13</x:f>
        <x:v>0.2125186333330861</x:v>
      </x:c>
      <x:c r="E13" s="270" t="n">
        <x:f>SUMIFS('Base alcaldía'!$D$2:$D$577,'Base alcaldía'!$A$2:$A$577,$N13,'Base alcaldía'!$C$2:$C$577,"d) 15 a 19 años")*2/5+SUMIFS('Base alcaldía'!$D$2:$D$577,'Base alcaldía'!$A$2:$A$577,$N13,'Base alcaldía'!$C$2:$C$577,"e) 20 a 24 años")+SUMIFS('Base alcaldía'!$D$2:$D$577,'Base alcaldía'!$A$2:$A$577,$N13,'Base alcaldía'!$C$2:$C$577,"f) 25 a 29 años")</x:f>
        <x:v>73471.6</x:v>
      </x:c>
      <x:c r="F13" s="271" t="n">
        <x:f>E13/B13</x:f>
        <x:v>0.18162796619177934</x:v>
      </x:c>
      <x:c r="G13" s="270" t="n">
        <x:f>SUMIFS('Base alcaldía'!$D$2:$D$577,'Base alcaldía'!$A$2:$A$577,$N13,'Base alcaldía'!$C$2:$C$577,"g) 30 a 34 años")+SUMIFS('Base alcaldía'!$D$2:$D$577,'Base alcaldía'!$A$2:$A$577,$N13,'Base alcaldía'!$C$2:$C$577,"h) 35 a 39 años")+SUMIFS('Base alcaldía'!$D$2:$D$577,'Base alcaldía'!$A$2:$A$577,$N13,'Base alcaldía'!$C$2:$C$577,"i) 40 a 44 años")+SUMIFS('Base alcaldía'!$D$2:$D$577,'Base alcaldía'!$A$2:$A$577,$N13,'Base alcaldía'!$C$2:$C$577,"j) 45 a 49 años")+SUMIFS('Base alcaldía'!$D$2:$D$577,'Base alcaldía'!$A$2:$A$577,$N13,'Base alcaldía'!$C$2:$C$577,"k) 50 a 54 años")+SUMIFS('Base alcaldía'!$D$2:$D$577,'Base alcaldía'!$A$2:$A$577,$N13,'Base alcaldía'!$C$2:$C$577,"l) 55 a 59 años")</x:f>
        <x:v>174171</x:v>
      </x:c>
      <x:c r="H13" s="271" t="n">
        <x:f>G13/B13</x:f>
        <x:v>0.430565340888022</x:v>
      </x:c>
      <x:c r="I13" s="270" t="n">
        <x:f>SUMIFS('Base alcaldía'!$D$2:$D$577,'Base alcaldía'!$A$2:$A$577,$N13,'Base alcaldía'!$C$2:$C$577,"m) 60 a 64 años")+SUMIFS('Base alcaldía'!$D$2:$D$577,'Base alcaldía'!$A$2:$A$577,$N13,'Base alcaldía'!$C$2:$C$577,"n) 65 a 69 años")+SUMIFS('Base alcaldía'!$D$2:$D$577,'Base alcaldía'!$A$2:$A$577,$N13,'Base alcaldía'!$C$2:$C$577,"o) 70 a 74 años")+SUMIFS('Base alcaldía'!$D$2:$D$577,'Base alcaldía'!$A$2:$A$577,$N13,'Base alcaldía'!$C$2:$C$577,"p) 75 a 79 años")+SUMIFS('Base alcaldía'!$D$2:$D$577,'Base alcaldía'!$A$2:$A$577,$N13,'Base alcaldía'!$C$2:$C$577,"q) 80 a 84 años")+SUMIFS('Base alcaldía'!$D$2:$D$577,'Base alcaldía'!$A$2:$A$577,$N13,'Base alcaldía'!$C$2:$C$577,"r) 85 años y más")</x:f>
        <x:v>70907</x:v>
      </x:c>
      <x:c r="J13" s="271" t="n">
        <x:f>I13/B13</x:f>
        <x:v>0.17528805958711252</x:v>
      </x:c>
      <x:c r="K13" s="270" t="n">
        <x:f>SUMIFS('Base alcaldía'!$D$2:$D$577,'Base alcaldía'!$A$2:$A$577,$N13,'Base alcaldía'!$C$2:$C$577,"n) 65 a 69 años")+SUMIFS('Base alcaldía'!$D$2:$D$577,'Base alcaldía'!$A$2:$A$577,$N13,'Base alcaldía'!$C$2:$C$577,"o) 70 a 74 años")+SUMIFS('Base alcaldía'!$D$2:$D$577,'Base alcaldía'!$A$2:$A$577,$N13,'Base alcaldía'!$C$2:$C$577,"p) 75 a 79 años")+SUMIFS('Base alcaldía'!$D$2:$D$577,'Base alcaldía'!$A$2:$A$577,$N13,'Base alcaldía'!$C$2:$C$577,"q) 80 a 84 años")+SUMIFS('Base alcaldía'!$D$2:$D$577,'Base alcaldía'!$A$2:$A$577,$N13,'Base alcaldía'!$C$2:$C$577,"r) 85 años y más")</x:f>
        <x:v>49074</x:v>
      </x:c>
      <x:c r="L13" s="271" t="n">
        <x:f>K13/B13</x:f>
        <x:v>0.12131504980013201</x:v>
      </x:c>
      <x:c r="M13" s="301" t="n">
        <x:f>SUM(C13,E13,G13,I13)-B13</x:f>
        <x:v>0</x:v>
      </x:c>
      <x:c r="N13" s="290" t="str">
        <x:v>IZTACALCO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</x:row>
    <x:row r="14" ht="21" customHeight="1">
      <x:c r="A14" s="269" t="str">
        <x:v>Iztapalapa</x:v>
      </x:c>
      <x:c r="B14" s="270" t="n">
        <x:f>SUMIFS('Base alcaldía'!$D$2:$D$577,'Base alcaldía'!$A$2:$A$577,$N14)</x:f>
        <x:v>1835091</x:v>
      </x:c>
      <x:c r="C14" s="270" t="n">
        <x:f>SUMIFS('Base alcaldía'!$D$2:$D$577,'Base alcaldía'!$A$2:$A$577,$N14,'Base alcaldía'!$C$2:$C$577,"a) 0 a 4 años")+SUMIFS('Base alcaldía'!$D$2:$D$577,'Base alcaldía'!$A$2:$A$577,$N14,'Base alcaldía'!$C$2:$C$577,"b) 5 a 9 años")+SUMIFS('Base alcaldía'!$D$2:$D$577,'Base alcaldía'!$A$2:$A$577,$N14,'Base alcaldía'!$C$2:$C$577,"c) 10 a 14 años")+SUMIFS('Base alcaldía'!$D$2:$D$577,'Base alcaldía'!$A$2:$A$577,$N14,'Base alcaldía'!$C$2:$C$577,"d) 15 a 19 años")*3/5</x:f>
        <x:v>452750.8</x:v>
      </x:c>
      <x:c r="D14" s="271" t="n">
        <x:f>C14/B14</x:f>
        <x:v>0.24671844611520627</x:v>
      </x:c>
      <x:c r="E14" s="270" t="n">
        <x:f>SUMIFS('Base alcaldía'!$D$2:$D$577,'Base alcaldía'!$A$2:$A$577,$N14,'Base alcaldía'!$C$2:$C$577,"d) 15 a 19 años")*2/5+SUMIFS('Base alcaldía'!$D$2:$D$577,'Base alcaldía'!$A$2:$A$577,$N14,'Base alcaldía'!$C$2:$C$577,"e) 20 a 24 años")+SUMIFS('Base alcaldía'!$D$2:$D$577,'Base alcaldía'!$A$2:$A$577,$N14,'Base alcaldía'!$C$2:$C$577,"f) 25 a 29 años")</x:f>
        <x:v>359607.2</x:v>
      </x:c>
      <x:c r="F14" s="271" t="n">
        <x:f>E14/B14</x:f>
        <x:v>0.19596150817588884</x:v>
      </x:c>
      <x:c r="G14" s="270" t="n">
        <x:f>SUMIFS('Base alcaldía'!$D$2:$D$577,'Base alcaldía'!$A$2:$A$577,$N14,'Base alcaldía'!$C$2:$C$577,"g) 30 a 34 años")+SUMIFS('Base alcaldía'!$D$2:$D$577,'Base alcaldía'!$A$2:$A$577,$N14,'Base alcaldía'!$C$2:$C$577,"h) 35 a 39 años")+SUMIFS('Base alcaldía'!$D$2:$D$577,'Base alcaldía'!$A$2:$A$577,$N14,'Base alcaldía'!$C$2:$C$577,"i) 40 a 44 años")+SUMIFS('Base alcaldía'!$D$2:$D$577,'Base alcaldía'!$A$2:$A$577,$N14,'Base alcaldía'!$C$2:$C$577,"j) 45 a 49 años")+SUMIFS('Base alcaldía'!$D$2:$D$577,'Base alcaldía'!$A$2:$A$577,$N14,'Base alcaldía'!$C$2:$C$577,"k) 50 a 54 años")+SUMIFS('Base alcaldía'!$D$2:$D$577,'Base alcaldía'!$A$2:$A$577,$N14,'Base alcaldía'!$C$2:$C$577,"l) 55 a 59 años")</x:f>
        <x:v>760669</x:v>
      </x:c>
      <x:c r="H14" s="271" t="n">
        <x:f>G14/B14</x:f>
        <x:v>0.41451295875790356</x:v>
      </x:c>
      <x:c r="I14" s="270" t="n">
        <x:f>SUMIFS('Base alcaldía'!$D$2:$D$577,'Base alcaldía'!$A$2:$A$577,$N14,'Base alcaldía'!$C$2:$C$577,"m) 60 a 64 años")+SUMIFS('Base alcaldía'!$D$2:$D$577,'Base alcaldía'!$A$2:$A$577,$N14,'Base alcaldía'!$C$2:$C$577,"n) 65 a 69 años")+SUMIFS('Base alcaldía'!$D$2:$D$577,'Base alcaldía'!$A$2:$A$577,$N14,'Base alcaldía'!$C$2:$C$577,"o) 70 a 74 años")+SUMIFS('Base alcaldía'!$D$2:$D$577,'Base alcaldía'!$A$2:$A$577,$N14,'Base alcaldía'!$C$2:$C$577,"p) 75 a 79 años")+SUMIFS('Base alcaldía'!$D$2:$D$577,'Base alcaldía'!$A$2:$A$577,$N14,'Base alcaldía'!$C$2:$C$577,"q) 80 a 84 años")+SUMIFS('Base alcaldía'!$D$2:$D$577,'Base alcaldía'!$A$2:$A$577,$N14,'Base alcaldía'!$C$2:$C$577,"r) 85 años y más")</x:f>
        <x:v>262064</x:v>
      </x:c>
      <x:c r="J14" s="271" t="n">
        <x:f>I14/B14</x:f>
        <x:v>0.14280708695100133</x:v>
      </x:c>
      <x:c r="K14" s="270" t="n">
        <x:f>SUMIFS('Base alcaldía'!$D$2:$D$577,'Base alcaldía'!$A$2:$A$577,$N14,'Base alcaldía'!$C$2:$C$577,"n) 65 a 69 años")+SUMIFS('Base alcaldía'!$D$2:$D$577,'Base alcaldía'!$A$2:$A$577,$N14,'Base alcaldía'!$C$2:$C$577,"o) 70 a 74 años")+SUMIFS('Base alcaldía'!$D$2:$D$577,'Base alcaldía'!$A$2:$A$577,$N14,'Base alcaldía'!$C$2:$C$577,"p) 75 a 79 años")+SUMIFS('Base alcaldía'!$D$2:$D$577,'Base alcaldía'!$A$2:$A$577,$N14,'Base alcaldía'!$C$2:$C$577,"q) 80 a 84 años")+SUMIFS('Base alcaldía'!$D$2:$D$577,'Base alcaldía'!$A$2:$A$577,$N14,'Base alcaldía'!$C$2:$C$577,"r) 85 años y más")</x:f>
        <x:v>174312</x:v>
      </x:c>
      <x:c r="L14" s="271" t="n">
        <x:f>K14/B14</x:f>
        <x:v>0.09498820494460493</x:v>
      </x:c>
      <x:c r="M14" s="301" t="n">
        <x:f>SUM(C14,E14,G14,I14)-B14</x:f>
        <x:v>0</x:v>
      </x:c>
      <x:c r="N14" s="290" t="str">
        <x:v>IZTAPALAPA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</x:row>
    <x:row r="15" ht="21" customHeight="1">
      <x:c r="A15" s="269" t="str">
        <x:v>La Magdalena Contreras</x:v>
      </x:c>
      <x:c r="B15" s="270" t="n">
        <x:f>SUMIFS('Base alcaldía'!$D$2:$D$577,'Base alcaldía'!$A$2:$A$577,$N15)</x:f>
        <x:v>247579</x:v>
      </x:c>
      <x:c r="C15" s="270" t="n">
        <x:f>SUMIFS('Base alcaldía'!$D$2:$D$577,'Base alcaldía'!$A$2:$A$577,$N15,'Base alcaldía'!$C$2:$C$577,"a) 0 a 4 años")+SUMIFS('Base alcaldía'!$D$2:$D$577,'Base alcaldía'!$A$2:$A$577,$N15,'Base alcaldía'!$C$2:$C$577,"b) 5 a 9 años")+SUMIFS('Base alcaldía'!$D$2:$D$577,'Base alcaldía'!$A$2:$A$577,$N15,'Base alcaldía'!$C$2:$C$577,"c) 10 a 14 años")+SUMIFS('Base alcaldía'!$D$2:$D$577,'Base alcaldía'!$A$2:$A$577,$N15,'Base alcaldía'!$C$2:$C$577,"d) 15 a 19 años")*3/5</x:f>
        <x:v>58711.4</x:v>
      </x:c>
      <x:c r="D15" s="271" t="n">
        <x:f>C15/B15</x:f>
        <x:v>0.2371420839408835</x:v>
      </x:c>
      <x:c r="E15" s="270" t="n">
        <x:f>SUMIFS('Base alcaldía'!$D$2:$D$577,'Base alcaldía'!$A$2:$A$577,$N15,'Base alcaldía'!$C$2:$C$577,"d) 15 a 19 años")*2/5+SUMIFS('Base alcaldía'!$D$2:$D$577,'Base alcaldía'!$A$2:$A$577,$N15,'Base alcaldía'!$C$2:$C$577,"e) 20 a 24 años")+SUMIFS('Base alcaldía'!$D$2:$D$577,'Base alcaldía'!$A$2:$A$577,$N15,'Base alcaldía'!$C$2:$C$577,"f) 25 a 29 años")</x:f>
        <x:v>47357.6</x:v>
      </x:c>
      <x:c r="F15" s="271" t="n">
        <x:f>E15/B15</x:f>
        <x:v>0.19128278246539487</x:v>
      </x:c>
      <x:c r="G15" s="270" t="n">
        <x:f>SUMIFS('Base alcaldía'!$D$2:$D$577,'Base alcaldía'!$A$2:$A$577,$N15,'Base alcaldía'!$C$2:$C$577,"g) 30 a 34 años")+SUMIFS('Base alcaldía'!$D$2:$D$577,'Base alcaldía'!$A$2:$A$577,$N15,'Base alcaldía'!$C$2:$C$577,"h) 35 a 39 años")+SUMIFS('Base alcaldía'!$D$2:$D$577,'Base alcaldía'!$A$2:$A$577,$N15,'Base alcaldía'!$C$2:$C$577,"i) 40 a 44 años")+SUMIFS('Base alcaldía'!$D$2:$D$577,'Base alcaldía'!$A$2:$A$577,$N15,'Base alcaldía'!$C$2:$C$577,"j) 45 a 49 años")+SUMIFS('Base alcaldía'!$D$2:$D$577,'Base alcaldía'!$A$2:$A$577,$N15,'Base alcaldía'!$C$2:$C$577,"k) 50 a 54 años")+SUMIFS('Base alcaldía'!$D$2:$D$577,'Base alcaldía'!$A$2:$A$577,$N15,'Base alcaldía'!$C$2:$C$577,"l) 55 a 59 años")</x:f>
        <x:v>103437</x:v>
      </x:c>
      <x:c r="H15" s="271" t="n">
        <x:f>G15/B15</x:f>
        <x:v>0.41779391628530693</x:v>
      </x:c>
      <x:c r="I15" s="270" t="n">
        <x:f>SUMIFS('Base alcaldía'!$D$2:$D$577,'Base alcaldía'!$A$2:$A$577,$N15,'Base alcaldía'!$C$2:$C$577,"m) 60 a 64 años")+SUMIFS('Base alcaldía'!$D$2:$D$577,'Base alcaldía'!$A$2:$A$577,$N15,'Base alcaldía'!$C$2:$C$577,"n) 65 a 69 años")+SUMIFS('Base alcaldía'!$D$2:$D$577,'Base alcaldía'!$A$2:$A$577,$N15,'Base alcaldía'!$C$2:$C$577,"o) 70 a 74 años")+SUMIFS('Base alcaldía'!$D$2:$D$577,'Base alcaldía'!$A$2:$A$577,$N15,'Base alcaldía'!$C$2:$C$577,"p) 75 a 79 años")+SUMIFS('Base alcaldía'!$D$2:$D$577,'Base alcaldía'!$A$2:$A$577,$N15,'Base alcaldía'!$C$2:$C$577,"q) 80 a 84 años")+SUMIFS('Base alcaldía'!$D$2:$D$577,'Base alcaldía'!$A$2:$A$577,$N15,'Base alcaldía'!$C$2:$C$577,"r) 85 años y más")</x:f>
        <x:v>38073</x:v>
      </x:c>
      <x:c r="J15" s="271" t="n">
        <x:f>I15/B15</x:f>
        <x:v>0.15378121730841468</x:v>
      </x:c>
      <x:c r="K15" s="270" t="n">
        <x:f>SUMIFS('Base alcaldía'!$D$2:$D$577,'Base alcaldía'!$A$2:$A$577,$N15,'Base alcaldía'!$C$2:$C$577,"n) 65 a 69 años")+SUMIFS('Base alcaldía'!$D$2:$D$577,'Base alcaldía'!$A$2:$A$577,$N15,'Base alcaldía'!$C$2:$C$577,"o) 70 a 74 años")+SUMIFS('Base alcaldía'!$D$2:$D$577,'Base alcaldía'!$A$2:$A$577,$N15,'Base alcaldía'!$C$2:$C$577,"p) 75 a 79 años")+SUMIFS('Base alcaldía'!$D$2:$D$577,'Base alcaldía'!$A$2:$A$577,$N15,'Base alcaldía'!$C$2:$C$577,"q) 80 a 84 años")+SUMIFS('Base alcaldía'!$D$2:$D$577,'Base alcaldía'!$A$2:$A$577,$N15,'Base alcaldía'!$C$2:$C$577,"r) 85 años y más")</x:f>
        <x:v>26066</x:v>
      </x:c>
      <x:c r="L15" s="271" t="n">
        <x:f>K15/B15</x:f>
        <x:v>0.10528356605366368</x:v>
      </x:c>
      <x:c r="M15" s="301" t="n">
        <x:f>SUM(C15,E15,G15,I15)-B15</x:f>
        <x:v>0</x:v>
      </x:c>
      <x:c r="N15" s="290" t="str">
        <x:v>LA MAGDALENA CONTRERAS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</x:row>
    <x:row r="16" ht="21" customHeight="1">
      <x:c r="A16" s="269" t="str">
        <x:v>Miguel Hidalgo</x:v>
      </x:c>
      <x:c r="B16" s="270" t="n">
        <x:f>SUMIFS('Base alcaldía'!$D$2:$D$577,'Base alcaldía'!$A$2:$A$577,$N16)</x:f>
        <x:v>408544</x:v>
      </x:c>
      <x:c r="C16" s="270" t="n">
        <x:f>SUMIFS('Base alcaldía'!$D$2:$D$577,'Base alcaldía'!$A$2:$A$577,$N16,'Base alcaldía'!$C$2:$C$577,"a) 0 a 4 años")+SUMIFS('Base alcaldía'!$D$2:$D$577,'Base alcaldía'!$A$2:$A$577,$N16,'Base alcaldía'!$C$2:$C$577,"b) 5 a 9 años")+SUMIFS('Base alcaldía'!$D$2:$D$577,'Base alcaldía'!$A$2:$A$577,$N16,'Base alcaldía'!$C$2:$C$577,"c) 10 a 14 años")+SUMIFS('Base alcaldía'!$D$2:$D$577,'Base alcaldía'!$A$2:$A$577,$N16,'Base alcaldía'!$C$2:$C$577,"d) 15 a 19 años")*3/5</x:f>
        <x:v>76051.4</x:v>
      </x:c>
      <x:c r="D16" s="271" t="n">
        <x:f>C16/B16</x:f>
        <x:v>0.1861522871465497</x:v>
      </x:c>
      <x:c r="E16" s="270" t="n">
        <x:f>SUMIFS('Base alcaldía'!$D$2:$D$577,'Base alcaldía'!$A$2:$A$577,$N16,'Base alcaldía'!$C$2:$C$577,"d) 15 a 19 años")*2/5+SUMIFS('Base alcaldía'!$D$2:$D$577,'Base alcaldía'!$A$2:$A$577,$N16,'Base alcaldía'!$C$2:$C$577,"e) 20 a 24 años")+SUMIFS('Base alcaldía'!$D$2:$D$577,'Base alcaldía'!$A$2:$A$577,$N16,'Base alcaldía'!$C$2:$C$577,"f) 25 a 29 años")</x:f>
        <x:v>70752.6</x:v>
      </x:c>
      <x:c r="F16" s="271" t="n">
        <x:f>E16/B16</x:f>
        <x:v>0.17318232552674867</x:v>
      </x:c>
      <x:c r="G16" s="270" t="n">
        <x:f>SUMIFS('Base alcaldía'!$D$2:$D$577,'Base alcaldía'!$A$2:$A$577,$N16,'Base alcaldía'!$C$2:$C$577,"g) 30 a 34 años")+SUMIFS('Base alcaldía'!$D$2:$D$577,'Base alcaldía'!$A$2:$A$577,$N16,'Base alcaldía'!$C$2:$C$577,"h) 35 a 39 años")+SUMIFS('Base alcaldía'!$D$2:$D$577,'Base alcaldía'!$A$2:$A$577,$N16,'Base alcaldía'!$C$2:$C$577,"i) 40 a 44 años")+SUMIFS('Base alcaldía'!$D$2:$D$577,'Base alcaldía'!$A$2:$A$577,$N16,'Base alcaldía'!$C$2:$C$577,"j) 45 a 49 años")+SUMIFS('Base alcaldía'!$D$2:$D$577,'Base alcaldía'!$A$2:$A$577,$N16,'Base alcaldía'!$C$2:$C$577,"k) 50 a 54 años")+SUMIFS('Base alcaldía'!$D$2:$D$577,'Base alcaldía'!$A$2:$A$577,$N16,'Base alcaldía'!$C$2:$C$577,"l) 55 a 59 años")</x:f>
        <x:v>190629</x:v>
      </x:c>
      <x:c r="H16" s="271" t="n">
        <x:f>G16/B16</x:f>
        <x:v>0.4666058001096577</x:v>
      </x:c>
      <x:c r="I16" s="270" t="n">
        <x:f>SUMIFS('Base alcaldía'!$D$2:$D$577,'Base alcaldía'!$A$2:$A$577,$N16,'Base alcaldía'!$C$2:$C$577,"m) 60 a 64 años")+SUMIFS('Base alcaldía'!$D$2:$D$577,'Base alcaldía'!$A$2:$A$577,$N16,'Base alcaldía'!$C$2:$C$577,"n) 65 a 69 años")+SUMIFS('Base alcaldía'!$D$2:$D$577,'Base alcaldía'!$A$2:$A$577,$N16,'Base alcaldía'!$C$2:$C$577,"o) 70 a 74 años")+SUMIFS('Base alcaldía'!$D$2:$D$577,'Base alcaldía'!$A$2:$A$577,$N16,'Base alcaldía'!$C$2:$C$577,"p) 75 a 79 años")+SUMIFS('Base alcaldía'!$D$2:$D$577,'Base alcaldía'!$A$2:$A$577,$N16,'Base alcaldía'!$C$2:$C$577,"q) 80 a 84 años")+SUMIFS('Base alcaldía'!$D$2:$D$577,'Base alcaldía'!$A$2:$A$577,$N16,'Base alcaldía'!$C$2:$C$577,"r) 85 años y más")</x:f>
        <x:v>71111</x:v>
      </x:c>
      <x:c r="J16" s="271" t="n">
        <x:f>I16/B16</x:f>
        <x:v>0.17405958721704395</x:v>
      </x:c>
      <x:c r="K16" s="270" t="n">
        <x:f>SUMIFS('Base alcaldía'!$D$2:$D$577,'Base alcaldía'!$A$2:$A$577,$N16,'Base alcaldía'!$C$2:$C$577,"n) 65 a 69 años")+SUMIFS('Base alcaldía'!$D$2:$D$577,'Base alcaldía'!$A$2:$A$577,$N16,'Base alcaldía'!$C$2:$C$577,"o) 70 a 74 años")+SUMIFS('Base alcaldía'!$D$2:$D$577,'Base alcaldía'!$A$2:$A$577,$N16,'Base alcaldía'!$C$2:$C$577,"p) 75 a 79 años")+SUMIFS('Base alcaldía'!$D$2:$D$577,'Base alcaldía'!$A$2:$A$577,$N16,'Base alcaldía'!$C$2:$C$577,"q) 80 a 84 años")+SUMIFS('Base alcaldía'!$D$2:$D$577,'Base alcaldía'!$A$2:$A$577,$N16,'Base alcaldía'!$C$2:$C$577,"r) 85 años y más")</x:f>
        <x:v>50183</x:v>
      </x:c>
      <x:c r="L16" s="271" t="n">
        <x:f>K16/B16</x:f>
        <x:v>0.12283377065872954</x:v>
      </x:c>
      <x:c r="M16" s="301" t="n">
        <x:f>SUM(C16,E16,G16,I16)-B16</x:f>
        <x:v>0</x:v>
      </x:c>
      <x:c r="N16" s="290" t="str">
        <x:v>MIGUEL HIDALGO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</x:row>
    <x:row r="17" ht="21" customHeight="1">
      <x:c r="A17" s="269" t="str">
        <x:v>Milpa Alta</x:v>
      </x:c>
      <x:c r="B17" s="270" t="n">
        <x:f>SUMIFS('Base alcaldía'!$D$2:$D$577,'Base alcaldía'!$A$2:$A$577,$N17)</x:f>
        <x:v>152671</x:v>
      </x:c>
      <x:c r="C17" s="270" t="n">
        <x:f>SUMIFS('Base alcaldía'!$D$2:$D$577,'Base alcaldía'!$A$2:$A$577,$N17,'Base alcaldía'!$C$2:$C$577,"a) 0 a 4 años")+SUMIFS('Base alcaldía'!$D$2:$D$577,'Base alcaldía'!$A$2:$A$577,$N17,'Base alcaldía'!$C$2:$C$577,"b) 5 a 9 años")+SUMIFS('Base alcaldía'!$D$2:$D$577,'Base alcaldía'!$A$2:$A$577,$N17,'Base alcaldía'!$C$2:$C$577,"c) 10 a 14 años")+SUMIFS('Base alcaldía'!$D$2:$D$577,'Base alcaldía'!$A$2:$A$577,$N17,'Base alcaldía'!$C$2:$C$577,"d) 15 a 19 años")*3/5</x:f>
        <x:v>44378</x:v>
      </x:c>
      <x:c r="D17" s="271" t="n">
        <x:f>C17/B17</x:f>
        <x:v>0.2906773388528273</x:v>
      </x:c>
      <x:c r="E17" s="270" t="n">
        <x:f>SUMIFS('Base alcaldía'!$D$2:$D$577,'Base alcaldía'!$A$2:$A$577,$N17,'Base alcaldía'!$C$2:$C$577,"d) 15 a 19 años")*2/5+SUMIFS('Base alcaldía'!$D$2:$D$577,'Base alcaldía'!$A$2:$A$577,$N17,'Base alcaldía'!$C$2:$C$577,"e) 20 a 24 años")+SUMIFS('Base alcaldía'!$D$2:$D$577,'Base alcaldía'!$A$2:$A$577,$N17,'Base alcaldía'!$C$2:$C$577,"f) 25 a 29 años")</x:f>
        <x:v>31718</x:v>
      </x:c>
      <x:c r="F17" s="271" t="n">
        <x:f>E17/B17</x:f>
        <x:v>0.20775392838194548</x:v>
      </x:c>
      <x:c r="G17" s="270" t="n">
        <x:f>SUMIFS('Base alcaldía'!$D$2:$D$577,'Base alcaldía'!$A$2:$A$577,$N17,'Base alcaldía'!$C$2:$C$577,"g) 30 a 34 años")+SUMIFS('Base alcaldía'!$D$2:$D$577,'Base alcaldía'!$A$2:$A$577,$N17,'Base alcaldía'!$C$2:$C$577,"h) 35 a 39 años")+SUMIFS('Base alcaldía'!$D$2:$D$577,'Base alcaldía'!$A$2:$A$577,$N17,'Base alcaldía'!$C$2:$C$577,"i) 40 a 44 años")+SUMIFS('Base alcaldía'!$D$2:$D$577,'Base alcaldía'!$A$2:$A$577,$N17,'Base alcaldía'!$C$2:$C$577,"j) 45 a 49 años")+SUMIFS('Base alcaldía'!$D$2:$D$577,'Base alcaldía'!$A$2:$A$577,$N17,'Base alcaldía'!$C$2:$C$577,"k) 50 a 54 años")+SUMIFS('Base alcaldía'!$D$2:$D$577,'Base alcaldía'!$A$2:$A$577,$N17,'Base alcaldía'!$C$2:$C$577,"l) 55 a 59 años")</x:f>
        <x:v>60138</x:v>
      </x:c>
      <x:c r="H17" s="271" t="n">
        <x:f>G17/B17</x:f>
        <x:v>0.39390584983395666</x:v>
      </x:c>
      <x:c r="I17" s="270" t="n">
        <x:f>SUMIFS('Base alcaldía'!$D$2:$D$577,'Base alcaldía'!$A$2:$A$577,$N17,'Base alcaldía'!$C$2:$C$577,"m) 60 a 64 años")+SUMIFS('Base alcaldía'!$D$2:$D$577,'Base alcaldía'!$A$2:$A$577,$N17,'Base alcaldía'!$C$2:$C$577,"n) 65 a 69 años")+SUMIFS('Base alcaldía'!$D$2:$D$577,'Base alcaldía'!$A$2:$A$577,$N17,'Base alcaldía'!$C$2:$C$577,"o) 70 a 74 años")+SUMIFS('Base alcaldía'!$D$2:$D$577,'Base alcaldía'!$A$2:$A$577,$N17,'Base alcaldía'!$C$2:$C$577,"p) 75 a 79 años")+SUMIFS('Base alcaldía'!$D$2:$D$577,'Base alcaldía'!$A$2:$A$577,$N17,'Base alcaldía'!$C$2:$C$577,"q) 80 a 84 años")+SUMIFS('Base alcaldía'!$D$2:$D$577,'Base alcaldía'!$A$2:$A$577,$N17,'Base alcaldía'!$C$2:$C$577,"r) 85 años y más")</x:f>
        <x:v>16437</x:v>
      </x:c>
      <x:c r="J17" s="271" t="n">
        <x:f>I17/B17</x:f>
        <x:v>0.1076628829312705</x:v>
      </x:c>
      <x:c r="K17" s="270" t="n">
        <x:f>SUMIFS('Base alcaldía'!$D$2:$D$577,'Base alcaldía'!$A$2:$A$577,$N17,'Base alcaldía'!$C$2:$C$577,"n) 65 a 69 años")+SUMIFS('Base alcaldía'!$D$2:$D$577,'Base alcaldía'!$A$2:$A$577,$N17,'Base alcaldía'!$C$2:$C$577,"o) 70 a 74 años")+SUMIFS('Base alcaldía'!$D$2:$D$577,'Base alcaldía'!$A$2:$A$577,$N17,'Base alcaldía'!$C$2:$C$577,"p) 75 a 79 años")+SUMIFS('Base alcaldía'!$D$2:$D$577,'Base alcaldía'!$A$2:$A$577,$N17,'Base alcaldía'!$C$2:$C$577,"q) 80 a 84 años")+SUMIFS('Base alcaldía'!$D$2:$D$577,'Base alcaldía'!$A$2:$A$577,$N17,'Base alcaldía'!$C$2:$C$577,"r) 85 años y más")</x:f>
        <x:v>10741</x:v>
      </x:c>
      <x:c r="L17" s="271" t="n">
        <x:f>K17/B17</x:f>
        <x:v>0.07035389825179635</x:v>
      </x:c>
      <x:c r="M17" s="301" t="n">
        <x:f>SUM(C17,E17,G17,I17)-B17</x:f>
        <x:v>0</x:v>
      </x:c>
      <x:c r="N17" s="290" t="str">
        <x:v>MILPA ALTA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</x:row>
    <x:row r="18" ht="21" customHeight="1">
      <x:c r="A18" s="269" t="str">
        <x:v>Tláhuac</x:v>
      </x:c>
      <x:c r="B18" s="270" t="n">
        <x:f>SUMIFS('Base alcaldía'!$D$2:$D$577,'Base alcaldía'!$A$2:$A$577,$N18)</x:f>
        <x:v>392168</x:v>
      </x:c>
      <x:c r="C18" s="270" t="n">
        <x:f>SUMIFS('Base alcaldía'!$D$2:$D$577,'Base alcaldía'!$A$2:$A$577,$N18,'Base alcaldía'!$C$2:$C$577,"a) 0 a 4 años")+SUMIFS('Base alcaldía'!$D$2:$D$577,'Base alcaldía'!$A$2:$A$577,$N18,'Base alcaldía'!$C$2:$C$577,"b) 5 a 9 años")+SUMIFS('Base alcaldía'!$D$2:$D$577,'Base alcaldía'!$A$2:$A$577,$N18,'Base alcaldía'!$C$2:$C$577,"c) 10 a 14 años")+SUMIFS('Base alcaldía'!$D$2:$D$577,'Base alcaldía'!$A$2:$A$577,$N18,'Base alcaldía'!$C$2:$C$577,"d) 15 a 19 años")*3/5</x:f>
        <x:v>103484.4</x:v>
      </x:c>
      <x:c r="D18" s="271" t="n">
        <x:f>C18/B18</x:f>
        <x:v>0.2638777258725852</x:v>
      </x:c>
      <x:c r="E18" s="270" t="n">
        <x:f>SUMIFS('Base alcaldía'!$D$2:$D$577,'Base alcaldía'!$A$2:$A$577,$N18,'Base alcaldía'!$C$2:$C$577,"d) 15 a 19 años")*2/5+SUMIFS('Base alcaldía'!$D$2:$D$577,'Base alcaldía'!$A$2:$A$577,$N18,'Base alcaldía'!$C$2:$C$577,"e) 20 a 24 años")+SUMIFS('Base alcaldía'!$D$2:$D$577,'Base alcaldía'!$A$2:$A$577,$N18,'Base alcaldía'!$C$2:$C$577,"f) 25 a 29 años")</x:f>
        <x:v>79958.6</x:v>
      </x:c>
      <x:c r="F18" s="271" t="n">
        <x:f>E18/B18</x:f>
        <x:v>0.20388863956263645</x:v>
      </x:c>
      <x:c r="G18" s="270" t="n">
        <x:f>SUMIFS('Base alcaldía'!$D$2:$D$577,'Base alcaldía'!$A$2:$A$577,$N18,'Base alcaldía'!$C$2:$C$577,"g) 30 a 34 años")+SUMIFS('Base alcaldía'!$D$2:$D$577,'Base alcaldía'!$A$2:$A$577,$N18,'Base alcaldía'!$C$2:$C$577,"h) 35 a 39 años")+SUMIFS('Base alcaldía'!$D$2:$D$577,'Base alcaldía'!$A$2:$A$577,$N18,'Base alcaldía'!$C$2:$C$577,"i) 40 a 44 años")+SUMIFS('Base alcaldía'!$D$2:$D$577,'Base alcaldía'!$A$2:$A$577,$N18,'Base alcaldía'!$C$2:$C$577,"j) 45 a 49 años")+SUMIFS('Base alcaldía'!$D$2:$D$577,'Base alcaldía'!$A$2:$A$577,$N18,'Base alcaldía'!$C$2:$C$577,"k) 50 a 54 años")+SUMIFS('Base alcaldía'!$D$2:$D$577,'Base alcaldía'!$A$2:$A$577,$N18,'Base alcaldía'!$C$2:$C$577,"l) 55 a 59 años")</x:f>
        <x:v>162529</x:v>
      </x:c>
      <x:c r="H18" s="271" t="n">
        <x:f>G18/B18</x:f>
        <x:v>0.41443717998408847</x:v>
      </x:c>
      <x:c r="I18" s="270" t="n">
        <x:f>SUMIFS('Base alcaldía'!$D$2:$D$577,'Base alcaldía'!$A$2:$A$577,$N18,'Base alcaldía'!$C$2:$C$577,"m) 60 a 64 años")+SUMIFS('Base alcaldía'!$D$2:$D$577,'Base alcaldía'!$A$2:$A$577,$N18,'Base alcaldía'!$C$2:$C$577,"n) 65 a 69 años")+SUMIFS('Base alcaldía'!$D$2:$D$577,'Base alcaldía'!$A$2:$A$577,$N18,'Base alcaldía'!$C$2:$C$577,"o) 70 a 74 años")+SUMIFS('Base alcaldía'!$D$2:$D$577,'Base alcaldía'!$A$2:$A$577,$N18,'Base alcaldía'!$C$2:$C$577,"p) 75 a 79 años")+SUMIFS('Base alcaldía'!$D$2:$D$577,'Base alcaldía'!$A$2:$A$577,$N18,'Base alcaldía'!$C$2:$C$577,"q) 80 a 84 años")+SUMIFS('Base alcaldía'!$D$2:$D$577,'Base alcaldía'!$A$2:$A$577,$N18,'Base alcaldía'!$C$2:$C$577,"r) 85 años y más")</x:f>
        <x:v>46196</x:v>
      </x:c>
      <x:c r="J18" s="271" t="n">
        <x:f>I18/B18</x:f>
        <x:v>0.11779645458068991</x:v>
      </x:c>
      <x:c r="K18" s="270" t="n">
        <x:f>SUMIFS('Base alcaldía'!$D$2:$D$577,'Base alcaldía'!$A$2:$A$577,$N18,'Base alcaldía'!$C$2:$C$577,"n) 65 a 69 años")+SUMIFS('Base alcaldía'!$D$2:$D$577,'Base alcaldía'!$A$2:$A$577,$N18,'Base alcaldía'!$C$2:$C$577,"o) 70 a 74 años")+SUMIFS('Base alcaldía'!$D$2:$D$577,'Base alcaldía'!$A$2:$A$577,$N18,'Base alcaldía'!$C$2:$C$577,"p) 75 a 79 años")+SUMIFS('Base alcaldía'!$D$2:$D$577,'Base alcaldía'!$A$2:$A$577,$N18,'Base alcaldía'!$C$2:$C$577,"q) 80 a 84 años")+SUMIFS('Base alcaldía'!$D$2:$D$577,'Base alcaldía'!$A$2:$A$577,$N18,'Base alcaldía'!$C$2:$C$577,"r) 85 años y más")</x:f>
        <x:v>29603</x:v>
      </x:c>
      <x:c r="L18" s="271" t="n">
        <x:f>K18/B18</x:f>
        <x:v>0.07548550621162359</x:v>
      </x:c>
      <x:c r="M18" s="301" t="n">
        <x:f>SUM(C18,E18,G18,I18)-B18</x:f>
        <x:v>0</x:v>
      </x:c>
      <x:c r="N18" s="290" t="str">
        <x:v>TLAHUAC</x:v>
      </x:c>
      <x:c r="O18" s="4"/>
      <x:c r="P18" s="4"/>
      <x:c r="Q18" s="4"/>
      <x:c r="R18" s="4"/>
      <x:c r="S18" s="4"/>
      <x:c r="T18" s="4"/>
      <x:c r="U18" s="4"/>
      <x:c r="V18" s="4"/>
      <x:c r="W18" s="4"/>
      <x:c r="X18" s="4"/>
    </x:row>
    <x:row r="19" ht="21" customHeight="1">
      <x:c r="A19" s="269" t="str">
        <x:v>Tlalpan</x:v>
      </x:c>
      <x:c r="B19" s="270" t="n">
        <x:f>SUMIFS('Base alcaldía'!$D$2:$D$577,'Base alcaldía'!$A$2:$A$577,$N19)</x:f>
        <x:v>699397</x:v>
      </x:c>
      <x:c r="C19" s="270" t="n">
        <x:f>SUMIFS('Base alcaldía'!$D$2:$D$577,'Base alcaldía'!$A$2:$A$577,$N19,'Base alcaldía'!$C$2:$C$577,"a) 0 a 4 años")+SUMIFS('Base alcaldía'!$D$2:$D$577,'Base alcaldía'!$A$2:$A$577,$N19,'Base alcaldía'!$C$2:$C$577,"b) 5 a 9 años")+SUMIFS('Base alcaldía'!$D$2:$D$577,'Base alcaldía'!$A$2:$A$577,$N19,'Base alcaldía'!$C$2:$C$577,"c) 10 a 14 años")+SUMIFS('Base alcaldía'!$D$2:$D$577,'Base alcaldía'!$A$2:$A$577,$N19,'Base alcaldía'!$C$2:$C$577,"d) 15 a 19 años")*3/5</x:f>
        <x:v>160925</x:v>
      </x:c>
      <x:c r="D19" s="271" t="n">
        <x:f>C19/B19</x:f>
        <x:v>0.23009106415955458</x:v>
      </x:c>
      <x:c r="E19" s="270" t="n">
        <x:f>SUMIFS('Base alcaldía'!$D$2:$D$577,'Base alcaldía'!$A$2:$A$577,$N19,'Base alcaldía'!$C$2:$C$577,"d) 15 a 19 años")*2/5+SUMIFS('Base alcaldía'!$D$2:$D$577,'Base alcaldía'!$A$2:$A$577,$N19,'Base alcaldía'!$C$2:$C$577,"e) 20 a 24 años")+SUMIFS('Base alcaldía'!$D$2:$D$577,'Base alcaldía'!$A$2:$A$577,$N19,'Base alcaldía'!$C$2:$C$577,"f) 25 a 29 años")</x:f>
        <x:v>135165</x:v>
      </x:c>
      <x:c r="F19" s="271" t="n">
        <x:f>E19/B19</x:f>
        <x:v>0.19325933625680408</x:v>
      </x:c>
      <x:c r="G19" s="270" t="n">
        <x:f>SUMIFS('Base alcaldía'!$D$2:$D$577,'Base alcaldía'!$A$2:$A$577,$N19,'Base alcaldía'!$C$2:$C$577,"g) 30 a 34 años")+SUMIFS('Base alcaldía'!$D$2:$D$577,'Base alcaldía'!$A$2:$A$577,$N19,'Base alcaldía'!$C$2:$C$577,"h) 35 a 39 años")+SUMIFS('Base alcaldía'!$D$2:$D$577,'Base alcaldía'!$A$2:$A$577,$N19,'Base alcaldía'!$C$2:$C$577,"i) 40 a 44 años")+SUMIFS('Base alcaldía'!$D$2:$D$577,'Base alcaldía'!$A$2:$A$577,$N19,'Base alcaldía'!$C$2:$C$577,"j) 45 a 49 años")+SUMIFS('Base alcaldía'!$D$2:$D$577,'Base alcaldía'!$A$2:$A$577,$N19,'Base alcaldía'!$C$2:$C$577,"k) 50 a 54 años")+SUMIFS('Base alcaldía'!$D$2:$D$577,'Base alcaldía'!$A$2:$A$577,$N19,'Base alcaldía'!$C$2:$C$577,"l) 55 a 59 años")</x:f>
        <x:v>294413</x:v>
      </x:c>
      <x:c r="H19" s="271" t="n">
        <x:f>G19/B19</x:f>
        <x:v>0.42095262061461514</x:v>
      </x:c>
      <x:c r="I19" s="270" t="n">
        <x:f>SUMIFS('Base alcaldía'!$D$2:$D$577,'Base alcaldía'!$A$2:$A$577,$N19,'Base alcaldía'!$C$2:$C$577,"m) 60 a 64 años")+SUMIFS('Base alcaldía'!$D$2:$D$577,'Base alcaldía'!$A$2:$A$577,$N19,'Base alcaldía'!$C$2:$C$577,"n) 65 a 69 años")+SUMIFS('Base alcaldía'!$D$2:$D$577,'Base alcaldía'!$A$2:$A$577,$N19,'Base alcaldía'!$C$2:$C$577,"o) 70 a 74 años")+SUMIFS('Base alcaldía'!$D$2:$D$577,'Base alcaldía'!$A$2:$A$577,$N19,'Base alcaldía'!$C$2:$C$577,"p) 75 a 79 años")+SUMIFS('Base alcaldía'!$D$2:$D$577,'Base alcaldía'!$A$2:$A$577,$N19,'Base alcaldía'!$C$2:$C$577,"q) 80 a 84 años")+SUMIFS('Base alcaldía'!$D$2:$D$577,'Base alcaldía'!$A$2:$A$577,$N19,'Base alcaldía'!$C$2:$C$577,"r) 85 años y más")</x:f>
        <x:v>108894</x:v>
      </x:c>
      <x:c r="J19" s="271" t="n">
        <x:f>I19/B19</x:f>
        <x:v>0.15569697896902618</x:v>
      </x:c>
      <x:c r="K19" s="270" t="n">
        <x:f>SUMIFS('Base alcaldía'!$D$2:$D$577,'Base alcaldía'!$A$2:$A$577,$N19,'Base alcaldía'!$C$2:$C$577,"n) 65 a 69 años")+SUMIFS('Base alcaldía'!$D$2:$D$577,'Base alcaldía'!$A$2:$A$577,$N19,'Base alcaldía'!$C$2:$C$577,"o) 70 a 74 años")+SUMIFS('Base alcaldía'!$D$2:$D$577,'Base alcaldía'!$A$2:$A$577,$N19,'Base alcaldía'!$C$2:$C$577,"p) 75 a 79 años")+SUMIFS('Base alcaldía'!$D$2:$D$577,'Base alcaldía'!$A$2:$A$577,$N19,'Base alcaldía'!$C$2:$C$577,"q) 80 a 84 años")+SUMIFS('Base alcaldía'!$D$2:$D$577,'Base alcaldía'!$A$2:$A$577,$N19,'Base alcaldía'!$C$2:$C$577,"r) 85 años y más")</x:f>
        <x:v>74056</x:v>
      </x:c>
      <x:c r="L19" s="271" t="n">
        <x:f>K19/B19</x:f>
        <x:v>0.10588549850800047</x:v>
      </x:c>
      <x:c r="M19" s="301" t="n">
        <x:f>SUM(C19,E19,G19,I19)-B19</x:f>
        <x:v>0</x:v>
      </x:c>
      <x:c r="N19" s="290" t="str">
        <x:v>TLALPAN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</x:row>
    <x:row r="20" ht="21" customHeight="1">
      <x:c r="A20" s="269" t="str">
        <x:v>Venustiano Carranza</x:v>
      </x:c>
      <x:c r="B20" s="270" t="n">
        <x:f>SUMIFS('Base alcaldía'!$D$2:$D$577,'Base alcaldía'!$A$2:$A$577,$N20)</x:f>
        <x:v>443289</x:v>
      </x:c>
      <x:c r="C20" s="270" t="n">
        <x:f>SUMIFS('Base alcaldía'!$D$2:$D$577,'Base alcaldía'!$A$2:$A$577,$N20,'Base alcaldía'!$C$2:$C$577,"a) 0 a 4 años")+SUMIFS('Base alcaldía'!$D$2:$D$577,'Base alcaldía'!$A$2:$A$577,$N20,'Base alcaldía'!$C$2:$C$577,"b) 5 a 9 años")+SUMIFS('Base alcaldía'!$D$2:$D$577,'Base alcaldía'!$A$2:$A$577,$N20,'Base alcaldía'!$C$2:$C$577,"c) 10 a 14 años")+SUMIFS('Base alcaldía'!$D$2:$D$577,'Base alcaldía'!$A$2:$A$577,$N20,'Base alcaldía'!$C$2:$C$577,"d) 15 a 19 años")*3/5</x:f>
        <x:v>96147</x:v>
      </x:c>
      <x:c r="D20" s="271" t="n">
        <x:f>C20/B20</x:f>
        <x:v>0.21689462179300636</x:v>
      </x:c>
      <x:c r="E20" s="270" t="n">
        <x:f>SUMIFS('Base alcaldía'!$D$2:$D$577,'Base alcaldía'!$A$2:$A$577,$N20,'Base alcaldía'!$C$2:$C$577,"d) 15 a 19 años")*2/5+SUMIFS('Base alcaldía'!$D$2:$D$577,'Base alcaldía'!$A$2:$A$577,$N20,'Base alcaldía'!$C$2:$C$577,"e) 20 a 24 años")+SUMIFS('Base alcaldía'!$D$2:$D$577,'Base alcaldía'!$A$2:$A$577,$N20,'Base alcaldía'!$C$2:$C$577,"f) 25 a 29 años")</x:f>
        <x:v>79947</x:v>
      </x:c>
      <x:c r="F20" s="271" t="n">
        <x:f>E20/B20</x:f>
        <x:v>0.1803496139087593</x:v>
      </x:c>
      <x:c r="G20" s="270" t="n">
        <x:f>SUMIFS('Base alcaldía'!$D$2:$D$577,'Base alcaldía'!$A$2:$A$577,$N20,'Base alcaldía'!$C$2:$C$577,"g) 30 a 34 años")+SUMIFS('Base alcaldía'!$D$2:$D$577,'Base alcaldía'!$A$2:$A$577,$N20,'Base alcaldía'!$C$2:$C$577,"h) 35 a 39 años")+SUMIFS('Base alcaldía'!$D$2:$D$577,'Base alcaldía'!$A$2:$A$577,$N20,'Base alcaldía'!$C$2:$C$577,"i) 40 a 44 años")+SUMIFS('Base alcaldía'!$D$2:$D$577,'Base alcaldía'!$A$2:$A$577,$N20,'Base alcaldía'!$C$2:$C$577,"j) 45 a 49 años")+SUMIFS('Base alcaldía'!$D$2:$D$577,'Base alcaldía'!$A$2:$A$577,$N20,'Base alcaldía'!$C$2:$C$577,"k) 50 a 54 años")+SUMIFS('Base alcaldía'!$D$2:$D$577,'Base alcaldía'!$A$2:$A$577,$N20,'Base alcaldía'!$C$2:$C$577,"l) 55 a 59 años")</x:f>
        <x:v>188231</x:v>
      </x:c>
      <x:c r="H20" s="271" t="n">
        <x:f>G20/B20</x:f>
        <x:v>0.4246236653740562</x:v>
      </x:c>
      <x:c r="I20" s="270" t="n">
        <x:f>SUMIFS('Base alcaldía'!$D$2:$D$577,'Base alcaldía'!$A$2:$A$577,$N20,'Base alcaldía'!$C$2:$C$577,"m) 60 a 64 años")+SUMIFS('Base alcaldía'!$D$2:$D$577,'Base alcaldía'!$A$2:$A$577,$N20,'Base alcaldía'!$C$2:$C$577,"n) 65 a 69 años")+SUMIFS('Base alcaldía'!$D$2:$D$577,'Base alcaldía'!$A$2:$A$577,$N20,'Base alcaldía'!$C$2:$C$577,"o) 70 a 74 años")+SUMIFS('Base alcaldía'!$D$2:$D$577,'Base alcaldía'!$A$2:$A$577,$N20,'Base alcaldía'!$C$2:$C$577,"p) 75 a 79 años")+SUMIFS('Base alcaldía'!$D$2:$D$577,'Base alcaldía'!$A$2:$A$577,$N20,'Base alcaldía'!$C$2:$C$577,"q) 80 a 84 años")+SUMIFS('Base alcaldía'!$D$2:$D$577,'Base alcaldía'!$A$2:$A$577,$N20,'Base alcaldía'!$C$2:$C$577,"r) 85 años y más")</x:f>
        <x:v>78964</x:v>
      </x:c>
      <x:c r="J20" s="271" t="n">
        <x:f>I20/B20</x:f>
        <x:v>0.17813209892417814</x:v>
      </x:c>
      <x:c r="K20" s="270" t="n">
        <x:f>SUMIFS('Base alcaldía'!$D$2:$D$577,'Base alcaldía'!$A$2:$A$577,$N20,'Base alcaldía'!$C$2:$C$577,"n) 65 a 69 años")+SUMIFS('Base alcaldía'!$D$2:$D$577,'Base alcaldía'!$A$2:$A$577,$N20,'Base alcaldía'!$C$2:$C$577,"o) 70 a 74 años")+SUMIFS('Base alcaldía'!$D$2:$D$577,'Base alcaldía'!$A$2:$A$577,$N20,'Base alcaldía'!$C$2:$C$577,"p) 75 a 79 años")+SUMIFS('Base alcaldía'!$D$2:$D$577,'Base alcaldía'!$A$2:$A$577,$N20,'Base alcaldía'!$C$2:$C$577,"q) 80 a 84 años")+SUMIFS('Base alcaldía'!$D$2:$D$577,'Base alcaldía'!$A$2:$A$577,$N20,'Base alcaldía'!$C$2:$C$577,"r) 85 años y más")</x:f>
        <x:v>54234</x:v>
      </x:c>
      <x:c r="L20" s="271" t="n">
        <x:f>K20/B20</x:f>
        <x:v>0.12234456528359602</x:v>
      </x:c>
      <x:c r="M20" s="301" t="n">
        <x:f>SUM(C20,E20,G20,I20)-B20</x:f>
        <x:v>0</x:v>
      </x:c>
      <x:c r="N20" s="290" t="str">
        <x:v>VENUSTIANO CARRANZA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</x:row>
    <x:row r="21" ht="21" customHeight="1">
      <x:c r="A21" s="273" t="str">
        <x:v>Xochimilco</x:v>
      </x:c>
      <x:c r="B21" s="274" t="n">
        <x:f>SUMIFS('Base alcaldía'!$D$2:$D$577,'Base alcaldía'!$A$2:$A$577,$N21)</x:f>
        <x:v>441969</x:v>
      </x:c>
      <x:c r="C21" s="274" t="n">
        <x:f>SUMIFS('Base alcaldía'!$D$2:$D$577,'Base alcaldía'!$A$2:$A$577,$N21,'Base alcaldía'!$C$2:$C$577,"a) 0 a 4 años")+SUMIFS('Base alcaldía'!$D$2:$D$577,'Base alcaldía'!$A$2:$A$577,$N21,'Base alcaldía'!$C$2:$C$577,"b) 5 a 9 años")+SUMIFS('Base alcaldía'!$D$2:$D$577,'Base alcaldía'!$A$2:$A$577,$N21,'Base alcaldía'!$C$2:$C$577,"c) 10 a 14 años")+SUMIFS('Base alcaldía'!$D$2:$D$577,'Base alcaldía'!$A$2:$A$577,$N21,'Base alcaldía'!$C$2:$C$577,"d) 15 a 19 años")*3/5</x:f>
        <x:v>110022.6</x:v>
      </x:c>
      <x:c r="D21" s="275" t="n">
        <x:f>C21/B21</x:f>
        <x:v>0.2489373689104892</x:v>
      </x:c>
      <x:c r="E21" s="274" t="n">
        <x:f>SUMIFS('Base alcaldía'!$D$2:$D$577,'Base alcaldía'!$A$2:$A$577,$N21,'Base alcaldía'!$C$2:$C$577,"d) 15 a 19 años")*2/5+SUMIFS('Base alcaldía'!$D$2:$D$577,'Base alcaldía'!$A$2:$A$577,$N21,'Base alcaldía'!$C$2:$C$577,"e) 20 a 24 años")+SUMIFS('Base alcaldía'!$D$2:$D$577,'Base alcaldía'!$A$2:$A$577,$N21,'Base alcaldía'!$C$2:$C$577,"f) 25 a 29 años")</x:f>
        <x:v>87524.4</x:v>
      </x:c>
      <x:c r="F21" s="275" t="n">
        <x:f>E21/B21</x:f>
        <x:v>0.1980328937097398</x:v>
      </x:c>
      <x:c r="G21" s="274" t="n">
        <x:f>SUMIFS('Base alcaldía'!$D$2:$D$577,'Base alcaldía'!$A$2:$A$577,$N21,'Base alcaldía'!$C$2:$C$577,"g) 30 a 34 años")+SUMIFS('Base alcaldía'!$D$2:$D$577,'Base alcaldía'!$A$2:$A$577,$N21,'Base alcaldía'!$C$2:$C$577,"h) 35 a 39 años")+SUMIFS('Base alcaldía'!$D$2:$D$577,'Base alcaldía'!$A$2:$A$577,$N21,'Base alcaldía'!$C$2:$C$577,"i) 40 a 44 años")+SUMIFS('Base alcaldía'!$D$2:$D$577,'Base alcaldía'!$A$2:$A$577,$N21,'Base alcaldía'!$C$2:$C$577,"j) 45 a 49 años")+SUMIFS('Base alcaldía'!$D$2:$D$577,'Base alcaldía'!$A$2:$A$577,$N21,'Base alcaldía'!$C$2:$C$577,"k) 50 a 54 años")+SUMIFS('Base alcaldía'!$D$2:$D$577,'Base alcaldía'!$A$2:$A$577,$N21,'Base alcaldía'!$C$2:$C$577,"l) 55 a 59 años")</x:f>
        <x:v>183435</x:v>
      </x:c>
      <x:c r="H21" s="275" t="n">
        <x:f>G21/B21</x:f>
        <x:v>0.41504042138702035</x:v>
      </x:c>
      <x:c r="I21" s="274" t="n">
        <x:f>SUMIFS('Base alcaldía'!$D$2:$D$577,'Base alcaldía'!$A$2:$A$577,$N21,'Base alcaldía'!$C$2:$C$577,"m) 60 a 64 años")+SUMIFS('Base alcaldía'!$D$2:$D$577,'Base alcaldía'!$A$2:$A$577,$N21,'Base alcaldía'!$C$2:$C$577,"n) 65 a 69 años")+SUMIFS('Base alcaldía'!$D$2:$D$577,'Base alcaldía'!$A$2:$A$577,$N21,'Base alcaldía'!$C$2:$C$577,"o) 70 a 74 años")+SUMIFS('Base alcaldía'!$D$2:$D$577,'Base alcaldía'!$A$2:$A$577,$N21,'Base alcaldía'!$C$2:$C$577,"p) 75 a 79 años")+SUMIFS('Base alcaldía'!$D$2:$D$577,'Base alcaldía'!$A$2:$A$577,$N21,'Base alcaldía'!$C$2:$C$577,"q) 80 a 84 años")+SUMIFS('Base alcaldía'!$D$2:$D$577,'Base alcaldía'!$A$2:$A$577,$N21,'Base alcaldía'!$C$2:$C$577,"r) 85 años y más")</x:f>
        <x:v>60987</x:v>
      </x:c>
      <x:c r="J21" s="275" t="n">
        <x:f>I21/B21</x:f>
        <x:v>0.13798931599275063</x:v>
      </x:c>
      <x:c r="K21" s="274" t="n">
        <x:f>SUMIFS('Base alcaldía'!$D$2:$D$577,'Base alcaldía'!$A$2:$A$577,$N21,'Base alcaldía'!$C$2:$C$577,"n) 65 a 69 años")+SUMIFS('Base alcaldía'!$D$2:$D$577,'Base alcaldía'!$A$2:$A$577,$N21,'Base alcaldía'!$C$2:$C$577,"o) 70 a 74 años")+SUMIFS('Base alcaldía'!$D$2:$D$577,'Base alcaldía'!$A$2:$A$577,$N21,'Base alcaldía'!$C$2:$C$577,"p) 75 a 79 años")+SUMIFS('Base alcaldía'!$D$2:$D$577,'Base alcaldía'!$A$2:$A$577,$N21,'Base alcaldía'!$C$2:$C$577,"q) 80 a 84 años")+SUMIFS('Base alcaldía'!$D$2:$D$577,'Base alcaldía'!$A$2:$A$577,$N21,'Base alcaldía'!$C$2:$C$577,"r) 85 años y más")</x:f>
        <x:v>40693</x:v>
      </x:c>
      <x:c r="L21" s="275" t="n">
        <x:f>K21/B21</x:f>
        <x:v>0.09207206840298754</x:v>
      </x:c>
      <x:c r="M21" s="301" t="n">
        <x:f>SUM(C21,E21,G21,I21)-B21</x:f>
        <x:v>0</x:v>
      </x:c>
      <x:c r="N21" s="291" t="str">
        <x:v>XOCHIMILCO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</x:row>
    <x:row r="22" ht="21" customHeight="1">
      <x:c r="A22" s="132"/>
      <x:c r="B22" s="137"/>
      <x:c r="C22" s="137"/>
      <x:c r="D22" s="283"/>
      <x:c r="E22" s="137"/>
      <x:c r="F22" s="283"/>
      <x:c r="G22" s="137"/>
      <x:c r="H22" s="283"/>
      <x:c r="I22" s="137"/>
      <x:c r="J22" s="283"/>
      <x:c r="K22" s="137"/>
      <x:c r="L22" s="283"/>
      <x:c r="M22" s="287"/>
      <x:c r="N22" s="132"/>
      <x:c r="O22" s="4"/>
      <x:c r="P22" s="4"/>
      <x:c r="Q22" s="4"/>
      <x:c r="R22" s="4"/>
      <x:c r="S22" s="4"/>
      <x:c r="T22" s="4"/>
      <x:c r="U22" s="4"/>
      <x:c r="V22" s="4"/>
      <x:c r="W22" s="4"/>
      <x:c r="X22" s="4"/>
    </x:row>
    <x:row r="23" ht="21" customHeight="1">
      <x:c r="A23" s="218" t="str">
        <x:v>CDMX (suma)</x:v>
      </x:c>
      <x:c r="B23" s="219" t="n">
        <x:f>SUM(B6:B21)</x:f>
        <x:v>9200318</x:v>
      </x:c>
      <x:c r="C23" s="219" t="n">
        <x:f>SUM(C6:C21)</x:f>
        <x:v>2043006.3999999997</x:v>
      </x:c>
      <x:c r="D23" s="220" t="n">
        <x:f>C23/B23</x:f>
        <x:v>0.2220582375522237</x:v>
      </x:c>
      <x:c r="E23" s="219" t="n">
        <x:f>SUM(E6:E21)</x:f>
        <x:v>1727049.6000000003</x:v>
      </x:c>
      <x:c r="F23" s="220" t="n">
        <x:f>E23/B23</x:f>
        <x:v>0.18771629415418037</x:v>
      </x:c>
      <x:c r="G23" s="219" t="n">
        <x:f>SUM(G6:G21)</x:f>
        <x:v>3938643</x:v>
      </x:c>
      <x:c r="H23" s="220" t="n">
        <x:f>G23/B23</x:f>
        <x:v>0.42809857224500286</x:v>
      </x:c>
      <x:c r="I23" s="219" t="n">
        <x:f>SUM(I6:I21)</x:f>
        <x:v>1491619</x:v>
      </x:c>
      <x:c r="J23" s="220" t="n">
        <x:f>I23/B23</x:f>
        <x:v>0.1621268960485931</x:v>
      </x:c>
      <x:c r="K23" s="219" t="n">
        <x:f>SUM(K6:K21)</x:f>
        <x:v>1022105</x:v>
      </x:c>
      <x:c r="L23" s="220" t="n">
        <x:f>K23/B23</x:f>
        <x:v>0.1110945295586522</x:v>
      </x:c>
      <x:c r="M23" s="303" t="n">
        <x:f>SUM(C23,E23,G23,I23)-B23</x:f>
        <x:v>0</x:v>
      </x:c>
      <x:c r="N23" s="218" t="str"/>
      <x:c r="O23" s="4"/>
      <x:c r="P23" s="4"/>
      <x:c r="Q23" s="4"/>
      <x:c r="R23" s="4"/>
      <x:c r="S23" s="4"/>
      <x:c r="T23" s="4"/>
      <x:c r="U23" s="4"/>
      <x:c r="V23" s="4"/>
      <x:c r="W23" s="4"/>
      <x:c r="X23" s="4"/>
    </x:row>
  </x:sheetData>
  <x:conditionalFormatting sqref="D6:D21">
    <x:cfRule type="colorScale" priority="2">
      <x:colorScale>
        <x:cfvo type="min"/>
        <x:cfvo type="percentile" val="50"/>
        <x:cfvo type="max"/>
        <x:color rgb="FFF8FBFD"/>
        <x:color rgb="FFBFD7E6"/>
        <x:color rgb="FF4F87A8"/>
      </x:colorScale>
    </x:cfRule>
  </x:conditionalFormatting>
  <x:conditionalFormatting sqref="F6:F21">
    <x:cfRule type="colorScale" priority="3">
      <x:colorScale>
        <x:cfvo type="min"/>
        <x:cfvo type="percentile" val="50"/>
        <x:cfvo type="max"/>
        <x:color rgb="FFF8FBFD"/>
        <x:color rgb="FFBFD7E6"/>
        <x:color rgb="FF4F87A8"/>
      </x:colorScale>
    </x:cfRule>
  </x:conditionalFormatting>
  <x:conditionalFormatting sqref="H6:H21">
    <x:cfRule type="colorScale" priority="4">
      <x:colorScale>
        <x:cfvo type="min"/>
        <x:cfvo type="percentile" val="50"/>
        <x:cfvo type="max"/>
        <x:color rgb="FFF8FBFD"/>
        <x:color rgb="FFBFD7E6"/>
        <x:color rgb="FF4F87A8"/>
      </x:colorScale>
    </x:cfRule>
  </x:conditionalFormatting>
  <x:conditionalFormatting sqref="J6:J21">
    <x:cfRule type="colorScale" priority="5">
      <x:colorScale>
        <x:cfvo type="min"/>
        <x:cfvo type="percentile" val="50"/>
        <x:cfvo type="max"/>
        <x:color rgb="FFF8FBFD"/>
        <x:color rgb="FFBFD7E6"/>
        <x:color rgb="FF4F87A8"/>
      </x:colorScale>
    </x:cfRule>
  </x:conditionalFormatting>
  <x:conditionalFormatting sqref="L6:L21">
    <x:cfRule type="colorScale" priority="6">
      <x:colorScale>
        <x:cfvo type="min"/>
        <x:cfvo type="percentile" val="50"/>
        <x:cfvo type="max"/>
        <x:color rgb="FFF8FBFD"/>
        <x:color rgb="FFBFD7E6"/>
        <x:color rgb="FF4F87A8"/>
      </x:colorScale>
    </x:cfRule>
  </x:conditionalFormatting>
  <x:pageMargins left="0.7" right="0.7" top="0.75" bottom="0.75" header="0.3" footer="0.3"/>
  <x:drawing xmlns:r="http://schemas.openxmlformats.org/officeDocument/2006/relationships" r:id="R122f8aedcc6a4baa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24" hidden="0" customWidth="1"/>
    <x:col min="4" max="4" width="15" hidden="0" customWidth="1"/>
    <x:col min="5" max="5" width="3" hidden="0" customWidth="1"/>
    <x:col min="6" max="6" width="15" hidden="0" customWidth="1"/>
    <x:col min="7" max="7" width="48" hidden="0" customWidth="1"/>
  </x:cols>
  <x:sheetData>
    <x:row r="1">
      <x:c r="A1" s="4" t="str">
        <x:v>alcaldia</x:v>
      </x:c>
      <x:c r="B1" s="4" t="str">
        <x:v>sexo</x:v>
      </x:c>
      <x:c r="C1" s="4" t="str">
        <x:v>rango_edad</x:v>
      </x:c>
      <x:c r="D1" s="4" t="str">
        <x:v>poblacion</x:v>
      </x:c>
      <x:c r="E1" s="4"/>
      <x:c r="F1" s="3" t="str">
        <x:v>Fuente</x:v>
      </x:c>
      <x:c r="G1" s="3" t="str">
        <x:v>Detalle</x:v>
      </x:c>
    </x:row>
    <x:row r="2">
      <x:c r="A2" s="4" t="str">
        <x:v>AZCAPOTZALCO</x:v>
      </x:c>
      <x:c r="B2" s="4" t="str">
        <x:v>Hombre</x:v>
      </x:c>
      <x:c r="C2" s="4" t="str">
        <x:v>a) 0 a 4 años</x:v>
      </x:c>
      <x:c r="D2" s="5" t="n">
        <x:v>10794</x:v>
      </x:c>
      <x:c r="E2" s="4"/>
      <x:c r="F2" s="4" t="str">
        <x:v>Archivo</x:v>
      </x:c>
      <x:c r="G2" s="4" t="str">
        <x:v>715dfe06-d8cf-4f42-bc83-e2e99f5f5030(1).csv</x:v>
      </x:c>
    </x:row>
    <x:row r="3">
      <x:c r="A3" s="4" t="str">
        <x:v>AZCAPOTZALCO</x:v>
      </x:c>
      <x:c r="B3" s="4" t="str">
        <x:v>Hombre</x:v>
      </x:c>
      <x:c r="C3" s="4" t="str">
        <x:v>b) 5 a 9 años</x:v>
      </x:c>
      <x:c r="D3" s="5" t="n">
        <x:v>11950</x:v>
      </x:c>
      <x:c r="E3" s="4"/>
      <x:c r="F3" s="4" t="str">
        <x:v>Periodo</x:v>
      </x:c>
      <x:c r="G3" s="4" t="str">
        <x:v>Censo 2020, indicado por la usuaria</x:v>
      </x:c>
    </x:row>
    <x:row r="4">
      <x:c r="A4" t="str">
        <x:v>AZCAPOTZALCO</x:v>
      </x:c>
      <x:c r="B4" t="str">
        <x:v>Hombre</x:v>
      </x:c>
      <x:c r="C4" t="str">
        <x:v>c) 10 a 14 años</x:v>
      </x:c>
      <x:c r="D4" s="1" t="n">
        <x:v>13219</x:v>
      </x:c>
    </x:row>
    <x:row r="5">
      <x:c r="A5" t="str">
        <x:v>AZCAPOTZALCO</x:v>
      </x:c>
      <x:c r="B5" t="str">
        <x:v>Hombre</x:v>
      </x:c>
      <x:c r="C5" t="str">
        <x:v>d) 15 a 19 años</x:v>
      </x:c>
      <x:c r="D5" s="1" t="n">
        <x:v>14272</x:v>
      </x:c>
    </x:row>
    <x:row r="6">
      <x:c r="A6" t="str">
        <x:v>AZCAPOTZALCO</x:v>
      </x:c>
      <x:c r="B6" t="str">
        <x:v>Hombre</x:v>
      </x:c>
      <x:c r="C6" t="str">
        <x:v>e) 20 a 24 años</x:v>
      </x:c>
      <x:c r="D6" s="1" t="n">
        <x:v>15895</x:v>
      </x:c>
    </x:row>
    <x:row r="7">
      <x:c r="A7" t="str">
        <x:v>AZCAPOTZALCO</x:v>
      </x:c>
      <x:c r="B7" t="str">
        <x:v>Hombre</x:v>
      </x:c>
      <x:c r="C7" t="str">
        <x:v>f) 25 a 29 años</x:v>
      </x:c>
      <x:c r="D7" s="1" t="n">
        <x:v>16899</x:v>
      </x:c>
    </x:row>
    <x:row r="8">
      <x:c r="A8" t="str">
        <x:v>AZCAPOTZALCO</x:v>
      </x:c>
      <x:c r="B8" t="str">
        <x:v>Hombre</x:v>
      </x:c>
      <x:c r="C8" t="str">
        <x:v>g) 30 a 34 años</x:v>
      </x:c>
      <x:c r="D8" s="1" t="n">
        <x:v>17047</x:v>
      </x:c>
    </x:row>
    <x:row r="9">
      <x:c r="A9" t="str">
        <x:v>AZCAPOTZALCO</x:v>
      </x:c>
      <x:c r="B9" t="str">
        <x:v>Hombre</x:v>
      </x:c>
      <x:c r="C9" t="str">
        <x:v>h) 35 a 39 años</x:v>
      </x:c>
      <x:c r="D9" s="1" t="n">
        <x:v>15868</x:v>
      </x:c>
    </x:row>
    <x:row r="10">
      <x:c r="A10" t="str">
        <x:v>AZCAPOTZALCO</x:v>
      </x:c>
      <x:c r="B10" t="str">
        <x:v>Hombre</x:v>
      </x:c>
      <x:c r="C10" t="str">
        <x:v>i) 40 a 44 años</x:v>
      </x:c>
      <x:c r="D10" s="1" t="n">
        <x:v>14624</x:v>
      </x:c>
    </x:row>
    <x:row r="11">
      <x:c r="A11" t="str">
        <x:v>AZCAPOTZALCO</x:v>
      </x:c>
      <x:c r="B11" t="str">
        <x:v>Hombre</x:v>
      </x:c>
      <x:c r="C11" t="str">
        <x:v>j) 45 a 49 años</x:v>
      </x:c>
      <x:c r="D11" s="1" t="n">
        <x:v>14810</x:v>
      </x:c>
    </x:row>
    <x:row r="12">
      <x:c r="A12" t="str">
        <x:v>AZCAPOTZALCO</x:v>
      </x:c>
      <x:c r="B12" t="str">
        <x:v>Hombre</x:v>
      </x:c>
      <x:c r="C12" t="str">
        <x:v>k) 50 a 54 años</x:v>
      </x:c>
      <x:c r="D12" s="1" t="n">
        <x:v>14313</x:v>
      </x:c>
    </x:row>
    <x:row r="13">
      <x:c r="A13" t="str">
        <x:v>AZCAPOTZALCO</x:v>
      </x:c>
      <x:c r="B13" t="str">
        <x:v>Hombre</x:v>
      </x:c>
      <x:c r="C13" t="str">
        <x:v>l) 55 a 59 años</x:v>
      </x:c>
      <x:c r="D13" s="1" t="n">
        <x:v>11992</x:v>
      </x:c>
    </x:row>
    <x:row r="14">
      <x:c r="A14" t="str">
        <x:v>AZCAPOTZALCO</x:v>
      </x:c>
      <x:c r="B14" t="str">
        <x:v>Hombre</x:v>
      </x:c>
      <x:c r="C14" t="str">
        <x:v>m) 60 a 64 años</x:v>
      </x:c>
      <x:c r="D14" s="1" t="n">
        <x:v>10497</x:v>
      </x:c>
    </x:row>
    <x:row r="15">
      <x:c r="A15" t="str">
        <x:v>AZCAPOTZALCO</x:v>
      </x:c>
      <x:c r="B15" t="str">
        <x:v>Hombre</x:v>
      </x:c>
      <x:c r="C15" t="str">
        <x:v>n) 65 a 69 años</x:v>
      </x:c>
      <x:c r="D15" s="1" t="n">
        <x:v>7906</x:v>
      </x:c>
    </x:row>
    <x:row r="16">
      <x:c r="A16" t="str">
        <x:v>AZCAPOTZALCO</x:v>
      </x:c>
      <x:c r="B16" t="str">
        <x:v>Hombre</x:v>
      </x:c>
      <x:c r="C16" t="str">
        <x:v>o) 70 a 74 años</x:v>
      </x:c>
      <x:c r="D16" s="1" t="n">
        <x:v>5925</x:v>
      </x:c>
    </x:row>
    <x:row r="17">
      <x:c r="A17" t="str">
        <x:v>AZCAPOTZALCO</x:v>
      </x:c>
      <x:c r="B17" t="str">
        <x:v>Hombre</x:v>
      </x:c>
      <x:c r="C17" t="str">
        <x:v>p) 75 a 79 años</x:v>
      </x:c>
      <x:c r="D17" s="1" t="n">
        <x:v>3966</x:v>
      </x:c>
    </x:row>
    <x:row r="18">
      <x:c r="A18" t="str">
        <x:v>AZCAPOTZALCO</x:v>
      </x:c>
      <x:c r="B18" t="str">
        <x:v>Hombre</x:v>
      </x:c>
      <x:c r="C18" t="str">
        <x:v>q) 80 a 84 años</x:v>
      </x:c>
      <x:c r="D18" s="1" t="n">
        <x:v>2628</x:v>
      </x:c>
    </x:row>
    <x:row r="19">
      <x:c r="A19" t="str">
        <x:v>AZCAPOTZALCO</x:v>
      </x:c>
      <x:c r="B19" t="str">
        <x:v>Hombre</x:v>
      </x:c>
      <x:c r="C19" t="str">
        <x:v>r) 85 años y más</x:v>
      </x:c>
      <x:c r="D19" s="1" t="n">
        <x:v>2163</x:v>
      </x:c>
    </x:row>
    <x:row r="20">
      <x:c r="A20" t="str">
        <x:v>AZCAPOTZALCO</x:v>
      </x:c>
      <x:c r="B20" t="str">
        <x:v>Mujer</x:v>
      </x:c>
      <x:c r="C20" t="str">
        <x:v>a) 0 a 4 años</x:v>
      </x:c>
      <x:c r="D20" s="1" t="n">
        <x:v>10266</x:v>
      </x:c>
    </x:row>
    <x:row r="21">
      <x:c r="A21" t="str">
        <x:v>AZCAPOTZALCO</x:v>
      </x:c>
      <x:c r="B21" t="str">
        <x:v>Mujer</x:v>
      </x:c>
      <x:c r="C21" t="str">
        <x:v>b) 5 a 9 años</x:v>
      </x:c>
      <x:c r="D21" s="1" t="n">
        <x:v>11470</x:v>
      </x:c>
    </x:row>
    <x:row r="22">
      <x:c r="A22" t="str">
        <x:v>AZCAPOTZALCO</x:v>
      </x:c>
      <x:c r="B22" t="str">
        <x:v>Mujer</x:v>
      </x:c>
      <x:c r="C22" t="str">
        <x:v>c) 10 a 14 años</x:v>
      </x:c>
      <x:c r="D22" s="1" t="n">
        <x:v>12667</x:v>
      </x:c>
    </x:row>
    <x:row r="23">
      <x:c r="A23" t="str">
        <x:v>AZCAPOTZALCO</x:v>
      </x:c>
      <x:c r="B23" t="str">
        <x:v>Mujer</x:v>
      </x:c>
      <x:c r="C23" t="str">
        <x:v>d) 15 a 19 años</x:v>
      </x:c>
      <x:c r="D23" s="1" t="n">
        <x:v>13711</x:v>
      </x:c>
    </x:row>
    <x:row r="24">
      <x:c r="A24" t="str">
        <x:v>AZCAPOTZALCO</x:v>
      </x:c>
      <x:c r="B24" t="str">
        <x:v>Mujer</x:v>
      </x:c>
      <x:c r="C24" t="str">
        <x:v>e) 20 a 24 años</x:v>
      </x:c>
      <x:c r="D24" s="1" t="n">
        <x:v>15561</x:v>
      </x:c>
    </x:row>
    <x:row r="25">
      <x:c r="A25" t="str">
        <x:v>AZCAPOTZALCO</x:v>
      </x:c>
      <x:c r="B25" t="str">
        <x:v>Mujer</x:v>
      </x:c>
      <x:c r="C25" t="str">
        <x:v>f) 25 a 29 años</x:v>
      </x:c>
      <x:c r="D25" s="1" t="n">
        <x:v>17506</x:v>
      </x:c>
    </x:row>
    <x:row r="26">
      <x:c r="A26" t="str">
        <x:v>AZCAPOTZALCO</x:v>
      </x:c>
      <x:c r="B26" t="str">
        <x:v>Mujer</x:v>
      </x:c>
      <x:c r="C26" t="str">
        <x:v>g) 30 a 34 años</x:v>
      </x:c>
      <x:c r="D26" s="1" t="n">
        <x:v>17858</x:v>
      </x:c>
    </x:row>
    <x:row r="27">
      <x:c r="A27" t="str">
        <x:v>AZCAPOTZALCO</x:v>
      </x:c>
      <x:c r="B27" t="str">
        <x:v>Mujer</x:v>
      </x:c>
      <x:c r="C27" t="str">
        <x:v>h) 35 a 39 años</x:v>
      </x:c>
      <x:c r="D27" s="1" t="n">
        <x:v>17294</x:v>
      </x:c>
    </x:row>
    <x:row r="28">
      <x:c r="A28" t="str">
        <x:v>AZCAPOTZALCO</x:v>
      </x:c>
      <x:c r="B28" t="str">
        <x:v>Mujer</x:v>
      </x:c>
      <x:c r="C28" t="str">
        <x:v>i) 40 a 44 años</x:v>
      </x:c>
      <x:c r="D28" s="1" t="n">
        <x:v>16621</x:v>
      </x:c>
    </x:row>
    <x:row r="29">
      <x:c r="A29" t="str">
        <x:v>AZCAPOTZALCO</x:v>
      </x:c>
      <x:c r="B29" t="str">
        <x:v>Mujer</x:v>
      </x:c>
      <x:c r="C29" t="str">
        <x:v>j) 45 a 49 años</x:v>
      </x:c>
      <x:c r="D29" s="1" t="n">
        <x:v>17049</x:v>
      </x:c>
    </x:row>
    <x:row r="30">
      <x:c r="A30" t="str">
        <x:v>AZCAPOTZALCO</x:v>
      </x:c>
      <x:c r="B30" t="str">
        <x:v>Mujer</x:v>
      </x:c>
      <x:c r="C30" t="str">
        <x:v>k) 50 a 54 años</x:v>
      </x:c>
      <x:c r="D30" s="1" t="n">
        <x:v>16822</x:v>
      </x:c>
    </x:row>
    <x:row r="31">
      <x:c r="A31" t="str">
        <x:v>AZCAPOTZALCO</x:v>
      </x:c>
      <x:c r="B31" t="str">
        <x:v>Mujer</x:v>
      </x:c>
      <x:c r="C31" t="str">
        <x:v>l) 55 a 59 años</x:v>
      </x:c>
      <x:c r="D31" s="1" t="n">
        <x:v>14682</x:v>
      </x:c>
    </x:row>
    <x:row r="32">
      <x:c r="A32" t="str">
        <x:v>AZCAPOTZALCO</x:v>
      </x:c>
      <x:c r="B32" t="str">
        <x:v>Mujer</x:v>
      </x:c>
      <x:c r="C32" t="str">
        <x:v>m) 60 a 64 años</x:v>
      </x:c>
      <x:c r="D32" s="1" t="n">
        <x:v>13290</x:v>
      </x:c>
    </x:row>
    <x:row r="33">
      <x:c r="A33" t="str">
        <x:v>AZCAPOTZALCO</x:v>
      </x:c>
      <x:c r="B33" t="str">
        <x:v>Mujer</x:v>
      </x:c>
      <x:c r="C33" t="str">
        <x:v>n) 65 a 69 años</x:v>
      </x:c>
      <x:c r="D33" s="1" t="n">
        <x:v>10153</x:v>
      </x:c>
    </x:row>
    <x:row r="34">
      <x:c r="A34" t="str">
        <x:v>AZCAPOTZALCO</x:v>
      </x:c>
      <x:c r="B34" t="str">
        <x:v>Mujer</x:v>
      </x:c>
      <x:c r="C34" t="str">
        <x:v>o) 70 a 74 años</x:v>
      </x:c>
      <x:c r="D34" s="1" t="n">
        <x:v>8307</x:v>
      </x:c>
    </x:row>
    <x:row r="35">
      <x:c r="A35" t="str">
        <x:v>AZCAPOTZALCO</x:v>
      </x:c>
      <x:c r="B35" t="str">
        <x:v>Mujer</x:v>
      </x:c>
      <x:c r="C35" t="str">
        <x:v>p) 75 a 79 años</x:v>
      </x:c>
      <x:c r="D35" s="1" t="n">
        <x:v>5665</x:v>
      </x:c>
    </x:row>
    <x:row r="36">
      <x:c r="A36" t="str">
        <x:v>AZCAPOTZALCO</x:v>
      </x:c>
      <x:c r="B36" t="str">
        <x:v>Mujer</x:v>
      </x:c>
      <x:c r="C36" t="str">
        <x:v>q) 80 a 84 años</x:v>
      </x:c>
      <x:c r="D36" s="1" t="n">
        <x:v>4217</x:v>
      </x:c>
    </x:row>
    <x:row r="37">
      <x:c r="A37" t="str">
        <x:v>AZCAPOTZALCO</x:v>
      </x:c>
      <x:c r="B37" t="str">
        <x:v>Mujer</x:v>
      </x:c>
      <x:c r="C37" t="str">
        <x:v>r) 85 años y más</x:v>
      </x:c>
      <x:c r="D37" s="1" t="n">
        <x:v>3933</x:v>
      </x:c>
    </x:row>
    <x:row r="38">
      <x:c r="A38" t="str">
        <x:v>COYOACAN</x:v>
      </x:c>
      <x:c r="B38" t="str">
        <x:v>Hombre</x:v>
      </x:c>
      <x:c r="C38" t="str">
        <x:v>a) 0 a 4 años</x:v>
      </x:c>
      <x:c r="D38" s="1" t="n">
        <x:v>13518</x:v>
      </x:c>
    </x:row>
    <x:row r="39">
      <x:c r="A39" t="str">
        <x:v>COYOACAN</x:v>
      </x:c>
      <x:c r="B39" t="str">
        <x:v>Hombre</x:v>
      </x:c>
      <x:c r="C39" t="str">
        <x:v>b) 5 a 9 años</x:v>
      </x:c>
      <x:c r="D39" s="1" t="n">
        <x:v>15435</x:v>
      </x:c>
    </x:row>
    <x:row r="40">
      <x:c r="A40" t="str">
        <x:v>COYOACAN</x:v>
      </x:c>
      <x:c r="B40" t="str">
        <x:v>Hombre</x:v>
      </x:c>
      <x:c r="C40" t="str">
        <x:v>c) 10 a 14 años</x:v>
      </x:c>
      <x:c r="D40" s="1" t="n">
        <x:v>17531</x:v>
      </x:c>
    </x:row>
    <x:row r="41">
      <x:c r="A41" t="str">
        <x:v>COYOACAN</x:v>
      </x:c>
      <x:c r="B41" t="str">
        <x:v>Hombre</x:v>
      </x:c>
      <x:c r="C41" t="str">
        <x:v>d) 15 a 19 años</x:v>
      </x:c>
      <x:c r="D41" s="1" t="n">
        <x:v>20091</x:v>
      </x:c>
    </x:row>
    <x:row r="42">
      <x:c r="A42" t="str">
        <x:v>COYOACAN</x:v>
      </x:c>
      <x:c r="B42" t="str">
        <x:v>Hombre</x:v>
      </x:c>
      <x:c r="C42" t="str">
        <x:v>e) 20 a 24 años</x:v>
      </x:c>
      <x:c r="D42" s="1" t="n">
        <x:v>23667</x:v>
      </x:c>
    </x:row>
    <x:row r="43">
      <x:c r="A43" t="str">
        <x:v>COYOACAN</x:v>
      </x:c>
      <x:c r="B43" t="str">
        <x:v>Hombre</x:v>
      </x:c>
      <x:c r="C43" t="str">
        <x:v>f) 25 a 29 años</x:v>
      </x:c>
      <x:c r="D43" s="1" t="n">
        <x:v>23879</x:v>
      </x:c>
    </x:row>
    <x:row r="44">
      <x:c r="A44" t="str">
        <x:v>COYOACAN</x:v>
      </x:c>
      <x:c r="B44" t="str">
        <x:v>Hombre</x:v>
      </x:c>
      <x:c r="C44" t="str">
        <x:v>g) 30 a 34 años</x:v>
      </x:c>
      <x:c r="D44" s="1" t="n">
        <x:v>22251</x:v>
      </x:c>
    </x:row>
    <x:row r="45">
      <x:c r="A45" t="str">
        <x:v>COYOACAN</x:v>
      </x:c>
      <x:c r="B45" t="str">
        <x:v>Hombre</x:v>
      </x:c>
      <x:c r="C45" t="str">
        <x:v>h) 35 a 39 años</x:v>
      </x:c>
      <x:c r="D45" s="1" t="n">
        <x:v>21119</x:v>
      </x:c>
    </x:row>
    <x:row r="46">
      <x:c r="A46" t="str">
        <x:v>COYOACAN</x:v>
      </x:c>
      <x:c r="B46" t="str">
        <x:v>Hombre</x:v>
      </x:c>
      <x:c r="C46" t="str">
        <x:v>i) 40 a 44 años</x:v>
      </x:c>
      <x:c r="D46" s="1" t="n">
        <x:v>20884</x:v>
      </x:c>
    </x:row>
    <x:row r="47">
      <x:c r="A47" t="str">
        <x:v>COYOACAN</x:v>
      </x:c>
      <x:c r="B47" t="str">
        <x:v>Hombre</x:v>
      </x:c>
      <x:c r="C47" t="str">
        <x:v>j) 45 a 49 años</x:v>
      </x:c>
      <x:c r="D47" s="1" t="n">
        <x:v>21315</x:v>
      </x:c>
    </x:row>
    <x:row r="48">
      <x:c r="A48" t="str">
        <x:v>COYOACAN</x:v>
      </x:c>
      <x:c r="B48" t="str">
        <x:v>Hombre</x:v>
      </x:c>
      <x:c r="C48" t="str">
        <x:v>k) 50 a 54 años</x:v>
      </x:c>
      <x:c r="D48" s="1" t="n">
        <x:v>19628</x:v>
      </x:c>
    </x:row>
    <x:row r="49">
      <x:c r="A49" t="str">
        <x:v>COYOACAN</x:v>
      </x:c>
      <x:c r="B49" t="str">
        <x:v>Hombre</x:v>
      </x:c>
      <x:c r="C49" t="str">
        <x:v>l) 55 a 59 años</x:v>
      </x:c>
      <x:c r="D49" s="1" t="n">
        <x:v>16722</x:v>
      </x:c>
    </x:row>
    <x:row r="50">
      <x:c r="A50" t="str">
        <x:v>COYOACAN</x:v>
      </x:c>
      <x:c r="B50" t="str">
        <x:v>Hombre</x:v>
      </x:c>
      <x:c r="C50" t="str">
        <x:v>m) 60 a 64 años</x:v>
      </x:c>
      <x:c r="D50" s="1" t="n">
        <x:v>15447</x:v>
      </x:c>
    </x:row>
    <x:row r="51">
      <x:c r="A51" t="str">
        <x:v>COYOACAN</x:v>
      </x:c>
      <x:c r="B51" t="str">
        <x:v>Hombre</x:v>
      </x:c>
      <x:c r="C51" t="str">
        <x:v>n) 65 a 69 años</x:v>
      </x:c>
      <x:c r="D51" s="1" t="n">
        <x:v>13010</x:v>
      </x:c>
    </x:row>
    <x:row r="52">
      <x:c r="A52" t="str">
        <x:v>COYOACAN</x:v>
      </x:c>
      <x:c r="B52" t="str">
        <x:v>Hombre</x:v>
      </x:c>
      <x:c r="C52" t="str">
        <x:v>o) 70 a 74 años</x:v>
      </x:c>
      <x:c r="D52" s="1" t="n">
        <x:v>10308</x:v>
      </x:c>
    </x:row>
    <x:row r="53">
      <x:c r="A53" t="str">
        <x:v>COYOACAN</x:v>
      </x:c>
      <x:c r="B53" t="str">
        <x:v>Hombre</x:v>
      </x:c>
      <x:c r="C53" t="str">
        <x:v>p) 75 a 79 años</x:v>
      </x:c>
      <x:c r="D53" s="1" t="n">
        <x:v>6748</x:v>
      </x:c>
    </x:row>
    <x:row r="54">
      <x:c r="A54" t="str">
        <x:v>COYOACAN</x:v>
      </x:c>
      <x:c r="B54" t="str">
        <x:v>Hombre</x:v>
      </x:c>
      <x:c r="C54" t="str">
        <x:v>q) 80 a 84 años</x:v>
      </x:c>
      <x:c r="D54" s="1" t="n">
        <x:v>4174</x:v>
      </x:c>
    </x:row>
    <x:row r="55">
      <x:c r="A55" t="str">
        <x:v>COYOACAN</x:v>
      </x:c>
      <x:c r="B55" t="str">
        <x:v>Hombre</x:v>
      </x:c>
      <x:c r="C55" t="str">
        <x:v>r) 85 años y más</x:v>
      </x:c>
      <x:c r="D55" s="1" t="n">
        <x:v>3321</x:v>
      </x:c>
    </x:row>
    <x:row r="56">
      <x:c r="A56" t="str">
        <x:v>COYOACAN</x:v>
      </x:c>
      <x:c r="B56" t="str">
        <x:v>Mujer</x:v>
      </x:c>
      <x:c r="C56" t="str">
        <x:v>a) 0 a 4 años</x:v>
      </x:c>
      <x:c r="D56" s="1" t="n">
        <x:v>13109</x:v>
      </x:c>
    </x:row>
    <x:row r="57">
      <x:c r="A57" t="str">
        <x:v>COYOACAN</x:v>
      </x:c>
      <x:c r="B57" t="str">
        <x:v>Mujer</x:v>
      </x:c>
      <x:c r="C57" t="str">
        <x:v>b) 5 a 9 años</x:v>
      </x:c>
      <x:c r="D57" s="1" t="n">
        <x:v>15013</x:v>
      </x:c>
    </x:row>
    <x:row r="58">
      <x:c r="A58" t="str">
        <x:v>COYOACAN</x:v>
      </x:c>
      <x:c r="B58" t="str">
        <x:v>Mujer</x:v>
      </x:c>
      <x:c r="C58" t="str">
        <x:v>c) 10 a 14 años</x:v>
      </x:c>
      <x:c r="D58" s="1" t="n">
        <x:v>16721</x:v>
      </x:c>
    </x:row>
    <x:row r="59">
      <x:c r="A59" t="str">
        <x:v>COYOACAN</x:v>
      </x:c>
      <x:c r="B59" t="str">
        <x:v>Mujer</x:v>
      </x:c>
      <x:c r="C59" t="str">
        <x:v>d) 15 a 19 años</x:v>
      </x:c>
      <x:c r="D59" s="1" t="n">
        <x:v>19308</x:v>
      </x:c>
    </x:row>
    <x:row r="60">
      <x:c r="A60" t="str">
        <x:v>COYOACAN</x:v>
      </x:c>
      <x:c r="B60" t="str">
        <x:v>Mujer</x:v>
      </x:c>
      <x:c r="C60" t="str">
        <x:v>e) 20 a 24 años</x:v>
      </x:c>
      <x:c r="D60" s="1" t="n">
        <x:v>23369</x:v>
      </x:c>
    </x:row>
    <x:row r="61">
      <x:c r="A61" t="str">
        <x:v>COYOACAN</x:v>
      </x:c>
      <x:c r="B61" t="str">
        <x:v>Mujer</x:v>
      </x:c>
      <x:c r="C61" t="str">
        <x:v>f) 25 a 29 años</x:v>
      </x:c>
      <x:c r="D61" s="1" t="n">
        <x:v>23960</x:v>
      </x:c>
    </x:row>
    <x:row r="62">
      <x:c r="A62" t="str">
        <x:v>COYOACAN</x:v>
      </x:c>
      <x:c r="B62" t="str">
        <x:v>Mujer</x:v>
      </x:c>
      <x:c r="C62" t="str">
        <x:v>g) 30 a 34 años</x:v>
      </x:c>
      <x:c r="D62" s="1" t="n">
        <x:v>23393</x:v>
      </x:c>
    </x:row>
    <x:row r="63">
      <x:c r="A63" t="str">
        <x:v>COYOACAN</x:v>
      </x:c>
      <x:c r="B63" t="str">
        <x:v>Mujer</x:v>
      </x:c>
      <x:c r="C63" t="str">
        <x:v>h) 35 a 39 años</x:v>
      </x:c>
      <x:c r="D63" s="1" t="n">
        <x:v>23561</x:v>
      </x:c>
    </x:row>
    <x:row r="64">
      <x:c r="A64" t="str">
        <x:v>COYOACAN</x:v>
      </x:c>
      <x:c r="B64" t="str">
        <x:v>Mujer</x:v>
      </x:c>
      <x:c r="C64" t="str">
        <x:v>i) 40 a 44 años</x:v>
      </x:c>
      <x:c r="D64" s="1" t="n">
        <x:v>23931</x:v>
      </x:c>
    </x:row>
    <x:row r="65">
      <x:c r="A65" t="str">
        <x:v>COYOACAN</x:v>
      </x:c>
      <x:c r="B65" t="str">
        <x:v>Mujer</x:v>
      </x:c>
      <x:c r="C65" t="str">
        <x:v>j) 45 a 49 años</x:v>
      </x:c>
      <x:c r="D65" s="1" t="n">
        <x:v>24865</x:v>
      </x:c>
    </x:row>
    <x:row r="66">
      <x:c r="A66" t="str">
        <x:v>COYOACAN</x:v>
      </x:c>
      <x:c r="B66" t="str">
        <x:v>Mujer</x:v>
      </x:c>
      <x:c r="C66" t="str">
        <x:v>k) 50 a 54 años</x:v>
      </x:c>
      <x:c r="D66" s="1" t="n">
        <x:v>23601</x:v>
      </x:c>
    </x:row>
    <x:row r="67">
      <x:c r="A67" t="str">
        <x:v>COYOACAN</x:v>
      </x:c>
      <x:c r="B67" t="str">
        <x:v>Mujer</x:v>
      </x:c>
      <x:c r="C67" t="str">
        <x:v>l) 55 a 59 años</x:v>
      </x:c>
      <x:c r="D67" s="1" t="n">
        <x:v>20856</x:v>
      </x:c>
    </x:row>
    <x:row r="68">
      <x:c r="A68" t="str">
        <x:v>COYOACAN</x:v>
      </x:c>
      <x:c r="B68" t="str">
        <x:v>Mujer</x:v>
      </x:c>
      <x:c r="C68" t="str">
        <x:v>m) 60 a 64 años</x:v>
      </x:c>
      <x:c r="D68" s="1" t="n">
        <x:v>20697</x:v>
      </x:c>
    </x:row>
    <x:row r="69">
      <x:c r="A69" t="str">
        <x:v>COYOACAN</x:v>
      </x:c>
      <x:c r="B69" t="str">
        <x:v>Mujer</x:v>
      </x:c>
      <x:c r="C69" t="str">
        <x:v>n) 65 a 69 años</x:v>
      </x:c>
      <x:c r="D69" s="1" t="n">
        <x:v>17480</x:v>
      </x:c>
    </x:row>
    <x:row r="70">
      <x:c r="A70" t="str">
        <x:v>COYOACAN</x:v>
      </x:c>
      <x:c r="B70" t="str">
        <x:v>Mujer</x:v>
      </x:c>
      <x:c r="C70" t="str">
        <x:v>o) 70 a 74 años</x:v>
      </x:c>
      <x:c r="D70" s="1" t="n">
        <x:v>13762</x:v>
      </x:c>
    </x:row>
    <x:row r="71">
      <x:c r="A71" t="str">
        <x:v>COYOACAN</x:v>
      </x:c>
      <x:c r="B71" t="str">
        <x:v>Mujer</x:v>
      </x:c>
      <x:c r="C71" t="str">
        <x:v>p) 75 a 79 años</x:v>
      </x:c>
      <x:c r="D71" s="1" t="n">
        <x:v>9201</x:v>
      </x:c>
    </x:row>
    <x:row r="72">
      <x:c r="A72" t="str">
        <x:v>COYOACAN</x:v>
      </x:c>
      <x:c r="B72" t="str">
        <x:v>Mujer</x:v>
      </x:c>
      <x:c r="C72" t="str">
        <x:v>q) 80 a 84 años</x:v>
      </x:c>
      <x:c r="D72" s="1" t="n">
        <x:v>6219</x:v>
      </x:c>
    </x:row>
    <x:row r="73">
      <x:c r="A73" t="str">
        <x:v>COYOACAN</x:v>
      </x:c>
      <x:c r="B73" t="str">
        <x:v>Mujer</x:v>
      </x:c>
      <x:c r="C73" t="str">
        <x:v>r) 85 años y más</x:v>
      </x:c>
      <x:c r="D73" s="1" t="n">
        <x:v>6225</x:v>
      </x:c>
    </x:row>
    <x:row r="74">
      <x:c r="A74" t="str">
        <x:v>CUAJIMALPA DE MORELOS</x:v>
      </x:c>
      <x:c r="B74" t="str">
        <x:v>Hombre</x:v>
      </x:c>
      <x:c r="C74" t="str">
        <x:v>a) 0 a 4 años</x:v>
      </x:c>
      <x:c r="D74" s="1" t="n">
        <x:v>7239</x:v>
      </x:c>
    </x:row>
    <x:row r="75">
      <x:c r="A75" t="str">
        <x:v>CUAJIMALPA DE MORELOS</x:v>
      </x:c>
      <x:c r="B75" t="str">
        <x:v>Hombre</x:v>
      </x:c>
      <x:c r="C75" t="str">
        <x:v>b) 5 a 9 años</x:v>
      </x:c>
      <x:c r="D75" s="1" t="n">
        <x:v>7848</x:v>
      </x:c>
    </x:row>
    <x:row r="76">
      <x:c r="A76" t="str">
        <x:v>CUAJIMALPA DE MORELOS</x:v>
      </x:c>
      <x:c r="B76" t="str">
        <x:v>Hombre</x:v>
      </x:c>
      <x:c r="C76" t="str">
        <x:v>c) 10 a 14 años</x:v>
      </x:c>
      <x:c r="D76" s="1" t="n">
        <x:v>7952</x:v>
      </x:c>
    </x:row>
    <x:row r="77">
      <x:c r="A77" t="str">
        <x:v>CUAJIMALPA DE MORELOS</x:v>
      </x:c>
      <x:c r="B77" t="str">
        <x:v>Hombre</x:v>
      </x:c>
      <x:c r="C77" t="str">
        <x:v>d) 15 a 19 años</x:v>
      </x:c>
      <x:c r="D77" s="1" t="n">
        <x:v>8442</x:v>
      </x:c>
    </x:row>
    <x:row r="78">
      <x:c r="A78" t="str">
        <x:v>CUAJIMALPA DE MORELOS</x:v>
      </x:c>
      <x:c r="B78" t="str">
        <x:v>Hombre</x:v>
      </x:c>
      <x:c r="C78" t="str">
        <x:v>e) 20 a 24 años</x:v>
      </x:c>
      <x:c r="D78" s="1" t="n">
        <x:v>8830</x:v>
      </x:c>
    </x:row>
    <x:row r="79">
      <x:c r="A79" t="str">
        <x:v>CUAJIMALPA DE MORELOS</x:v>
      </x:c>
      <x:c r="B79" t="str">
        <x:v>Hombre</x:v>
      </x:c>
      <x:c r="C79" t="str">
        <x:v>f) 25 a 29 años</x:v>
      </x:c>
      <x:c r="D79" s="1" t="n">
        <x:v>8732</x:v>
      </x:c>
    </x:row>
    <x:row r="80">
      <x:c r="A80" t="str">
        <x:v>CUAJIMALPA DE MORELOS</x:v>
      </x:c>
      <x:c r="B80" t="str">
        <x:v>Hombre</x:v>
      </x:c>
      <x:c r="C80" t="str">
        <x:v>g) 30 a 34 años</x:v>
      </x:c>
      <x:c r="D80" s="1" t="n">
        <x:v>8547</x:v>
      </x:c>
    </x:row>
    <x:row r="81">
      <x:c r="A81" t="str">
        <x:v>CUAJIMALPA DE MORELOS</x:v>
      </x:c>
      <x:c r="B81" t="str">
        <x:v>Hombre</x:v>
      </x:c>
      <x:c r="C81" t="str">
        <x:v>h) 35 a 39 años</x:v>
      </x:c>
      <x:c r="D81" s="1" t="n">
        <x:v>8013</x:v>
      </x:c>
    </x:row>
    <x:row r="82">
      <x:c r="A82" t="str">
        <x:v>CUAJIMALPA DE MORELOS</x:v>
      </x:c>
      <x:c r="B82" t="str">
        <x:v>Hombre</x:v>
      </x:c>
      <x:c r="C82" t="str">
        <x:v>i) 40 a 44 años</x:v>
      </x:c>
      <x:c r="D82" s="1" t="n">
        <x:v>7443</x:v>
      </x:c>
    </x:row>
    <x:row r="83">
      <x:c r="A83" t="str">
        <x:v>CUAJIMALPA DE MORELOS</x:v>
      </x:c>
      <x:c r="B83" t="str">
        <x:v>Hombre</x:v>
      </x:c>
      <x:c r="C83" t="str">
        <x:v>j) 45 a 49 años</x:v>
      </x:c>
      <x:c r="D83" s="1" t="n">
        <x:v>7399</x:v>
      </x:c>
    </x:row>
    <x:row r="84">
      <x:c r="A84" t="str">
        <x:v>CUAJIMALPA DE MORELOS</x:v>
      </x:c>
      <x:c r="B84" t="str">
        <x:v>Hombre</x:v>
      </x:c>
      <x:c r="C84" t="str">
        <x:v>k) 50 a 54 años</x:v>
      </x:c>
      <x:c r="D84" s="1" t="n">
        <x:v>6711</x:v>
      </x:c>
    </x:row>
    <x:row r="85">
      <x:c r="A85" t="str">
        <x:v>CUAJIMALPA DE MORELOS</x:v>
      </x:c>
      <x:c r="B85" t="str">
        <x:v>Hombre</x:v>
      </x:c>
      <x:c r="C85" t="str">
        <x:v>l) 55 a 59 años</x:v>
      </x:c>
      <x:c r="D85" s="1" t="n">
        <x:v>5397</x:v>
      </x:c>
    </x:row>
    <x:row r="86">
      <x:c r="A86" t="str">
        <x:v>CUAJIMALPA DE MORELOS</x:v>
      </x:c>
      <x:c r="B86" t="str">
        <x:v>Hombre</x:v>
      </x:c>
      <x:c r="C86" t="str">
        <x:v>m) 60 a 64 años</x:v>
      </x:c>
      <x:c r="D86" s="1" t="n">
        <x:v>4180</x:v>
      </x:c>
    </x:row>
    <x:row r="87">
      <x:c r="A87" t="str">
        <x:v>CUAJIMALPA DE MORELOS</x:v>
      </x:c>
      <x:c r="B87" t="str">
        <x:v>Hombre</x:v>
      </x:c>
      <x:c r="C87" t="str">
        <x:v>n) 65 a 69 años</x:v>
      </x:c>
      <x:c r="D87" s="1" t="n">
        <x:v>2897</x:v>
      </x:c>
    </x:row>
    <x:row r="88">
      <x:c r="A88" t="str">
        <x:v>CUAJIMALPA DE MORELOS</x:v>
      </x:c>
      <x:c r="B88" t="str">
        <x:v>Hombre</x:v>
      </x:c>
      <x:c r="C88" t="str">
        <x:v>o) 70 a 74 años</x:v>
      </x:c>
      <x:c r="D88" s="1" t="n">
        <x:v>1936</x:v>
      </x:c>
    </x:row>
    <x:row r="89">
      <x:c r="A89" t="str">
        <x:v>CUAJIMALPA DE MORELOS</x:v>
      </x:c>
      <x:c r="B89" t="str">
        <x:v>Hombre</x:v>
      </x:c>
      <x:c r="C89" t="str">
        <x:v>p) 75 a 79 años</x:v>
      </x:c>
      <x:c r="D89" s="1" t="n">
        <x:v>1262</x:v>
      </x:c>
    </x:row>
    <x:row r="90">
      <x:c r="A90" t="str">
        <x:v>CUAJIMALPA DE MORELOS</x:v>
      </x:c>
      <x:c r="B90" t="str">
        <x:v>Hombre</x:v>
      </x:c>
      <x:c r="C90" t="str">
        <x:v>q) 80 a 84 años</x:v>
      </x:c>
      <x:c r="D90" s="1" t="n">
        <x:v>751</x:v>
      </x:c>
    </x:row>
    <x:row r="91">
      <x:c r="A91" t="str">
        <x:v>CUAJIMALPA DE MORELOS</x:v>
      </x:c>
      <x:c r="B91" t="str">
        <x:v>Hombre</x:v>
      </x:c>
      <x:c r="C91" t="str">
        <x:v>r) 85 años y más</x:v>
      </x:c>
      <x:c r="D91" s="1" t="n">
        <x:v>511</x:v>
      </x:c>
    </x:row>
    <x:row r="92">
      <x:c r="A92" t="str">
        <x:v>CUAJIMALPA DE MORELOS</x:v>
      </x:c>
      <x:c r="B92" t="str">
        <x:v>Mujer</x:v>
      </x:c>
      <x:c r="C92" t="str">
        <x:v>a) 0 a 4 años</x:v>
      </x:c>
      <x:c r="D92" s="1" t="n">
        <x:v>7016</x:v>
      </x:c>
    </x:row>
    <x:row r="93">
      <x:c r="A93" t="str">
        <x:v>CUAJIMALPA DE MORELOS</x:v>
      </x:c>
      <x:c r="B93" t="str">
        <x:v>Mujer</x:v>
      </x:c>
      <x:c r="C93" t="str">
        <x:v>b) 5 a 9 años</x:v>
      </x:c>
      <x:c r="D93" s="1" t="n">
        <x:v>7431</x:v>
      </x:c>
    </x:row>
    <x:row r="94">
      <x:c r="A94" t="str">
        <x:v>CUAJIMALPA DE MORELOS</x:v>
      </x:c>
      <x:c r="B94" t="str">
        <x:v>Mujer</x:v>
      </x:c>
      <x:c r="C94" t="str">
        <x:v>c) 10 a 14 años</x:v>
      </x:c>
      <x:c r="D94" s="1" t="n">
        <x:v>7821</x:v>
      </x:c>
    </x:row>
    <x:row r="95">
      <x:c r="A95" t="str">
        <x:v>CUAJIMALPA DE MORELOS</x:v>
      </x:c>
      <x:c r="B95" t="str">
        <x:v>Mujer</x:v>
      </x:c>
      <x:c r="C95" t="str">
        <x:v>d) 15 a 19 años</x:v>
      </x:c>
      <x:c r="D95" s="1" t="n">
        <x:v>8334</x:v>
      </x:c>
    </x:row>
    <x:row r="96">
      <x:c r="A96" t="str">
        <x:v>CUAJIMALPA DE MORELOS</x:v>
      </x:c>
      <x:c r="B96" t="str">
        <x:v>Mujer</x:v>
      </x:c>
      <x:c r="C96" t="str">
        <x:v>e) 20 a 24 años</x:v>
      </x:c>
      <x:c r="D96" s="1" t="n">
        <x:v>9464</x:v>
      </x:c>
    </x:row>
    <x:row r="97">
      <x:c r="A97" t="str">
        <x:v>CUAJIMALPA DE MORELOS</x:v>
      </x:c>
      <x:c r="B97" t="str">
        <x:v>Mujer</x:v>
      </x:c>
      <x:c r="C97" t="str">
        <x:v>f) 25 a 29 años</x:v>
      </x:c>
      <x:c r="D97" s="1" t="n">
        <x:v>9718</x:v>
      </x:c>
    </x:row>
    <x:row r="98">
      <x:c r="A98" t="str">
        <x:v>CUAJIMALPA DE MORELOS</x:v>
      </x:c>
      <x:c r="B98" t="str">
        <x:v>Mujer</x:v>
      </x:c>
      <x:c r="C98" t="str">
        <x:v>g) 30 a 34 años</x:v>
      </x:c>
      <x:c r="D98" s="1" t="n">
        <x:v>9609</x:v>
      </x:c>
    </x:row>
    <x:row r="99">
      <x:c r="A99" t="str">
        <x:v>CUAJIMALPA DE MORELOS</x:v>
      </x:c>
      <x:c r="B99" t="str">
        <x:v>Mujer</x:v>
      </x:c>
      <x:c r="C99" t="str">
        <x:v>h) 35 a 39 años</x:v>
      </x:c>
      <x:c r="D99" s="1" t="n">
        <x:v>8817</x:v>
      </x:c>
    </x:row>
    <x:row r="100">
      <x:c r="A100" t="str">
        <x:v>CUAJIMALPA DE MORELOS</x:v>
      </x:c>
      <x:c r="B100" t="str">
        <x:v>Mujer</x:v>
      </x:c>
      <x:c r="C100" t="str">
        <x:v>i) 40 a 44 años</x:v>
      </x:c>
      <x:c r="D100" s="1" t="n">
        <x:v>8471</x:v>
      </x:c>
    </x:row>
    <x:row r="101">
      <x:c r="A101" t="str">
        <x:v>CUAJIMALPA DE MORELOS</x:v>
      </x:c>
      <x:c r="B101" t="str">
        <x:v>Mujer</x:v>
      </x:c>
      <x:c r="C101" t="str">
        <x:v>j) 45 a 49 años</x:v>
      </x:c>
      <x:c r="D101" s="1" t="n">
        <x:v>8481</x:v>
      </x:c>
    </x:row>
    <x:row r="102">
      <x:c r="A102" t="str">
        <x:v>CUAJIMALPA DE MORELOS</x:v>
      </x:c>
      <x:c r="B102" t="str">
        <x:v>Mujer</x:v>
      </x:c>
      <x:c r="C102" t="str">
        <x:v>k) 50 a 54 años</x:v>
      </x:c>
      <x:c r="D102" s="1" t="n">
        <x:v>7892</x:v>
      </x:c>
    </x:row>
    <x:row r="103">
      <x:c r="A103" t="str">
        <x:v>CUAJIMALPA DE MORELOS</x:v>
      </x:c>
      <x:c r="B103" t="str">
        <x:v>Mujer</x:v>
      </x:c>
      <x:c r="C103" t="str">
        <x:v>l) 55 a 59 años</x:v>
      </x:c>
      <x:c r="D103" s="1" t="n">
        <x:v>6160</x:v>
      </x:c>
    </x:row>
    <x:row r="104">
      <x:c r="A104" t="str">
        <x:v>CUAJIMALPA DE MORELOS</x:v>
      </x:c>
      <x:c r="B104" t="str">
        <x:v>Mujer</x:v>
      </x:c>
      <x:c r="C104" t="str">
        <x:v>m) 60 a 64 años</x:v>
      </x:c>
      <x:c r="D104" s="1" t="n">
        <x:v>4863</x:v>
      </x:c>
    </x:row>
    <x:row r="105">
      <x:c r="A105" t="str">
        <x:v>CUAJIMALPA DE MORELOS</x:v>
      </x:c>
      <x:c r="B105" t="str">
        <x:v>Mujer</x:v>
      </x:c>
      <x:c r="C105" t="str">
        <x:v>n) 65 a 69 años</x:v>
      </x:c>
      <x:c r="D105" s="1" t="n">
        <x:v>3362</x:v>
      </x:c>
    </x:row>
    <x:row r="106">
      <x:c r="A106" t="str">
        <x:v>CUAJIMALPA DE MORELOS</x:v>
      </x:c>
      <x:c r="B106" t="str">
        <x:v>Mujer</x:v>
      </x:c>
      <x:c r="C106" t="str">
        <x:v>o) 70 a 74 años</x:v>
      </x:c>
      <x:c r="D106" s="1" t="n">
        <x:v>2449</x:v>
      </x:c>
    </x:row>
    <x:row r="107">
      <x:c r="A107" t="str">
        <x:v>CUAJIMALPA DE MORELOS</x:v>
      </x:c>
      <x:c r="B107" t="str">
        <x:v>Mujer</x:v>
      </x:c>
      <x:c r="C107" t="str">
        <x:v>p) 75 a 79 años</x:v>
      </x:c>
      <x:c r="D107" s="1" t="n">
        <x:v>1543</x:v>
      </x:c>
    </x:row>
    <x:row r="108">
      <x:c r="A108" t="str">
        <x:v>CUAJIMALPA DE MORELOS</x:v>
      </x:c>
      <x:c r="B108" t="str">
        <x:v>Mujer</x:v>
      </x:c>
      <x:c r="C108" t="str">
        <x:v>q) 80 a 84 años</x:v>
      </x:c>
      <x:c r="D108" s="1" t="n">
        <x:v>1078</x:v>
      </x:c>
    </x:row>
    <x:row r="109">
      <x:c r="A109" t="str">
        <x:v>CUAJIMALPA DE MORELOS</x:v>
      </x:c>
      <x:c r="B109" t="str">
        <x:v>Mujer</x:v>
      </x:c>
      <x:c r="C109" t="str">
        <x:v>r) 85 años y más</x:v>
      </x:c>
      <x:c r="D109" s="1" t="n">
        <x:v>971</x:v>
      </x:c>
    </x:row>
    <x:row r="110">
      <x:c r="A110" t="str">
        <x:v>GUSTAVO A. MADERO</x:v>
      </x:c>
      <x:c r="B110" t="str">
        <x:v>Hombre</x:v>
      </x:c>
      <x:c r="C110" t="str">
        <x:v>a) 0 a 4 años</x:v>
      </x:c>
      <x:c r="D110" s="1" t="n">
        <x:v>32218</x:v>
      </x:c>
    </x:row>
    <x:row r="111">
      <x:c r="A111" t="str">
        <x:v>GUSTAVO A. MADERO</x:v>
      </x:c>
      <x:c r="B111" t="str">
        <x:v>Hombre</x:v>
      </x:c>
      <x:c r="C111" t="str">
        <x:v>b) 5 a 9 años</x:v>
      </x:c>
      <x:c r="D111" s="1" t="n">
        <x:v>36273</x:v>
      </x:c>
    </x:row>
    <x:row r="112">
      <x:c r="A112" t="str">
        <x:v>GUSTAVO A. MADERO</x:v>
      </x:c>
      <x:c r="B112" t="str">
        <x:v>Hombre</x:v>
      </x:c>
      <x:c r="C112" t="str">
        <x:v>c) 10 a 14 años</x:v>
      </x:c>
      <x:c r="D112" s="1" t="n">
        <x:v>39042</x:v>
      </x:c>
    </x:row>
    <x:row r="113">
      <x:c r="A113" t="str">
        <x:v>GUSTAVO A. MADERO</x:v>
      </x:c>
      <x:c r="B113" t="str">
        <x:v>Hombre</x:v>
      </x:c>
      <x:c r="C113" t="str">
        <x:v>d) 15 a 19 años</x:v>
      </x:c>
      <x:c r="D113" s="1" t="n">
        <x:v>43052</x:v>
      </x:c>
    </x:row>
    <x:row r="114">
      <x:c r="A114" t="str">
        <x:v>GUSTAVO A. MADERO</x:v>
      </x:c>
      <x:c r="B114" t="str">
        <x:v>Hombre</x:v>
      </x:c>
      <x:c r="C114" t="str">
        <x:v>e) 20 a 24 años</x:v>
      </x:c>
      <x:c r="D114" s="1" t="n">
        <x:v>46768</x:v>
      </x:c>
    </x:row>
    <x:row r="115">
      <x:c r="A115" t="str">
        <x:v>GUSTAVO A. MADERO</x:v>
      </x:c>
      <x:c r="B115" t="str">
        <x:v>Hombre</x:v>
      </x:c>
      <x:c r="C115" t="str">
        <x:v>f) 25 a 29 años</x:v>
      </x:c>
      <x:c r="D115" s="1" t="n">
        <x:v>46369</x:v>
      </x:c>
    </x:row>
    <x:row r="116">
      <x:c r="A116" t="str">
        <x:v>GUSTAVO A. MADERO</x:v>
      </x:c>
      <x:c r="B116" t="str">
        <x:v>Hombre</x:v>
      </x:c>
      <x:c r="C116" t="str">
        <x:v>g) 30 a 34 años</x:v>
      </x:c>
      <x:c r="D116" s="1" t="n">
        <x:v>43437</x:v>
      </x:c>
    </x:row>
    <x:row r="117">
      <x:c r="A117" t="str">
        <x:v>GUSTAVO A. MADERO</x:v>
      </x:c>
      <x:c r="B117" t="str">
        <x:v>Hombre</x:v>
      </x:c>
      <x:c r="C117" t="str">
        <x:v>h) 35 a 39 años</x:v>
      </x:c>
      <x:c r="D117" s="1" t="n">
        <x:v>40516</x:v>
      </x:c>
    </x:row>
    <x:row r="118">
      <x:c r="A118" t="str">
        <x:v>GUSTAVO A. MADERO</x:v>
      </x:c>
      <x:c r="B118" t="str">
        <x:v>Hombre</x:v>
      </x:c>
      <x:c r="C118" t="str">
        <x:v>i) 40 a 44 años</x:v>
      </x:c>
      <x:c r="D118" s="1" t="n">
        <x:v>38783</x:v>
      </x:c>
    </x:row>
    <x:row r="119">
      <x:c r="A119" t="str">
        <x:v>GUSTAVO A. MADERO</x:v>
      </x:c>
      <x:c r="B119" t="str">
        <x:v>Hombre</x:v>
      </x:c>
      <x:c r="C119" t="str">
        <x:v>j) 45 a 49 años</x:v>
      </x:c>
      <x:c r="D119" s="1" t="n">
        <x:v>39825</x:v>
      </x:c>
    </x:row>
    <x:row r="120">
      <x:c r="A120" t="str">
        <x:v>GUSTAVO A. MADERO</x:v>
      </x:c>
      <x:c r="B120" t="str">
        <x:v>Hombre</x:v>
      </x:c>
      <x:c r="C120" t="str">
        <x:v>k) 50 a 54 años</x:v>
      </x:c>
      <x:c r="D120" s="1" t="n">
        <x:v>37979</x:v>
      </x:c>
    </x:row>
    <x:row r="121">
      <x:c r="A121" t="str">
        <x:v>GUSTAVO A. MADERO</x:v>
      </x:c>
      <x:c r="B121" t="str">
        <x:v>Hombre</x:v>
      </x:c>
      <x:c r="C121" t="str">
        <x:v>l) 55 a 59 años</x:v>
      </x:c>
      <x:c r="D121" s="1" t="n">
        <x:v>32164</x:v>
      </x:c>
    </x:row>
    <x:row r="122">
      <x:c r="A122" t="str">
        <x:v>GUSTAVO A. MADERO</x:v>
      </x:c>
      <x:c r="B122" t="str">
        <x:v>Hombre</x:v>
      </x:c>
      <x:c r="C122" t="str">
        <x:v>m) 60 a 64 años</x:v>
      </x:c>
      <x:c r="D122" s="1" t="n">
        <x:v>27902</x:v>
      </x:c>
    </x:row>
    <x:row r="123">
      <x:c r="A123" t="str">
        <x:v>GUSTAVO A. MADERO</x:v>
      </x:c>
      <x:c r="B123" t="str">
        <x:v>Hombre</x:v>
      </x:c>
      <x:c r="C123" t="str">
        <x:v>n) 65 a 69 años</x:v>
      </x:c>
      <x:c r="D123" s="1" t="n">
        <x:v>20530</x:v>
      </x:c>
    </x:row>
    <x:row r="124">
      <x:c r="A124" t="str">
        <x:v>GUSTAVO A. MADERO</x:v>
      </x:c>
      <x:c r="B124" t="str">
        <x:v>Hombre</x:v>
      </x:c>
      <x:c r="C124" t="str">
        <x:v>o) 70 a 74 años</x:v>
      </x:c>
      <x:c r="D124" s="1" t="n">
        <x:v>15486</x:v>
      </x:c>
    </x:row>
    <x:row r="125">
      <x:c r="A125" t="str">
        <x:v>GUSTAVO A. MADERO</x:v>
      </x:c>
      <x:c r="B125" t="str">
        <x:v>Hombre</x:v>
      </x:c>
      <x:c r="C125" t="str">
        <x:v>p) 75 a 79 años</x:v>
      </x:c>
      <x:c r="D125" s="1" t="n">
        <x:v>10673</x:v>
      </x:c>
    </x:row>
    <x:row r="126">
      <x:c r="A126" t="str">
        <x:v>GUSTAVO A. MADERO</x:v>
      </x:c>
      <x:c r="B126" t="str">
        <x:v>Hombre</x:v>
      </x:c>
      <x:c r="C126" t="str">
        <x:v>q) 80 a 84 años</x:v>
      </x:c>
      <x:c r="D126" s="1" t="n">
        <x:v>7062</x:v>
      </x:c>
    </x:row>
    <x:row r="127">
      <x:c r="A127" t="str">
        <x:v>GUSTAVO A. MADERO</x:v>
      </x:c>
      <x:c r="B127" t="str">
        <x:v>Hombre</x:v>
      </x:c>
      <x:c r="C127" t="str">
        <x:v>r) 85 años y más</x:v>
      </x:c>
      <x:c r="D127" s="1" t="n">
        <x:v>5681</x:v>
      </x:c>
    </x:row>
    <x:row r="128">
      <x:c r="A128" t="str">
        <x:v>GUSTAVO A. MADERO</x:v>
      </x:c>
      <x:c r="B128" t="str">
        <x:v>Mujer</x:v>
      </x:c>
      <x:c r="C128" t="str">
        <x:v>a) 0 a 4 años</x:v>
      </x:c>
      <x:c r="D128" s="1" t="n">
        <x:v>31044</x:v>
      </x:c>
    </x:row>
    <x:row r="129">
      <x:c r="A129" t="str">
        <x:v>GUSTAVO A. MADERO</x:v>
      </x:c>
      <x:c r="B129" t="str">
        <x:v>Mujer</x:v>
      </x:c>
      <x:c r="C129" t="str">
        <x:v>b) 5 a 9 años</x:v>
      </x:c>
      <x:c r="D129" s="1" t="n">
        <x:v>35361</x:v>
      </x:c>
    </x:row>
    <x:row r="130">
      <x:c r="A130" t="str">
        <x:v>GUSTAVO A. MADERO</x:v>
      </x:c>
      <x:c r="B130" t="str">
        <x:v>Mujer</x:v>
      </x:c>
      <x:c r="C130" t="str">
        <x:v>c) 10 a 14 años</x:v>
      </x:c>
      <x:c r="D130" s="1" t="n">
        <x:v>38407</x:v>
      </x:c>
    </x:row>
    <x:row r="131">
      <x:c r="A131" t="str">
        <x:v>GUSTAVO A. MADERO</x:v>
      </x:c>
      <x:c r="B131" t="str">
        <x:v>Mujer</x:v>
      </x:c>
      <x:c r="C131" t="str">
        <x:v>d) 15 a 19 años</x:v>
      </x:c>
      <x:c r="D131" s="1" t="n">
        <x:v>41281</x:v>
      </x:c>
    </x:row>
    <x:row r="132">
      <x:c r="A132" t="str">
        <x:v>GUSTAVO A. MADERO</x:v>
      </x:c>
      <x:c r="B132" t="str">
        <x:v>Mujer</x:v>
      </x:c>
      <x:c r="C132" t="str">
        <x:v>e) 20 a 24 años</x:v>
      </x:c>
      <x:c r="D132" s="1" t="n">
        <x:v>44809</x:v>
      </x:c>
    </x:row>
    <x:row r="133">
      <x:c r="A133" t="str">
        <x:v>GUSTAVO A. MADERO</x:v>
      </x:c>
      <x:c r="B133" t="str">
        <x:v>Mujer</x:v>
      </x:c>
      <x:c r="C133" t="str">
        <x:v>f) 25 a 29 años</x:v>
      </x:c>
      <x:c r="D133" s="1" t="n">
        <x:v>45079</x:v>
      </x:c>
    </x:row>
    <x:row r="134">
      <x:c r="A134" t="str">
        <x:v>GUSTAVO A. MADERO</x:v>
      </x:c>
      <x:c r="B134" t="str">
        <x:v>Mujer</x:v>
      </x:c>
      <x:c r="C134" t="str">
        <x:v>g) 30 a 34 años</x:v>
      </x:c>
      <x:c r="D134" s="1" t="n">
        <x:v>44189</x:v>
      </x:c>
    </x:row>
    <x:row r="135">
      <x:c r="A135" t="str">
        <x:v>GUSTAVO A. MADERO</x:v>
      </x:c>
      <x:c r="B135" t="str">
        <x:v>Mujer</x:v>
      </x:c>
      <x:c r="C135" t="str">
        <x:v>h) 35 a 39 años</x:v>
      </x:c>
      <x:c r="D135" s="1" t="n">
        <x:v>43083</x:v>
      </x:c>
    </x:row>
    <x:row r="136">
      <x:c r="A136" t="str">
        <x:v>GUSTAVO A. MADERO</x:v>
      </x:c>
      <x:c r="B136" t="str">
        <x:v>Mujer</x:v>
      </x:c>
      <x:c r="C136" t="str">
        <x:v>i) 40 a 44 años</x:v>
      </x:c>
      <x:c r="D136" s="1" t="n">
        <x:v>42720</x:v>
      </x:c>
    </x:row>
    <x:row r="137">
      <x:c r="A137" t="str">
        <x:v>GUSTAVO A. MADERO</x:v>
      </x:c>
      <x:c r="B137" t="str">
        <x:v>Mujer</x:v>
      </x:c>
      <x:c r="C137" t="str">
        <x:v>j) 45 a 49 años</x:v>
      </x:c>
      <x:c r="D137" s="1" t="n">
        <x:v>44866</x:v>
      </x:c>
    </x:row>
    <x:row r="138">
      <x:c r="A138" t="str">
        <x:v>GUSTAVO A. MADERO</x:v>
      </x:c>
      <x:c r="B138" t="str">
        <x:v>Mujer</x:v>
      </x:c>
      <x:c r="C138" t="str">
        <x:v>k) 50 a 54 años</x:v>
      </x:c>
      <x:c r="D138" s="1" t="n">
        <x:v>44541</x:v>
      </x:c>
    </x:row>
    <x:row r="139">
      <x:c r="A139" t="str">
        <x:v>GUSTAVO A. MADERO</x:v>
      </x:c>
      <x:c r="B139" t="str">
        <x:v>Mujer</x:v>
      </x:c>
      <x:c r="C139" t="str">
        <x:v>l) 55 a 59 años</x:v>
      </x:c>
      <x:c r="D139" s="1" t="n">
        <x:v>37842</x:v>
      </x:c>
    </x:row>
    <x:row r="140">
      <x:c r="A140" t="str">
        <x:v>GUSTAVO A. MADERO</x:v>
      </x:c>
      <x:c r="B140" t="str">
        <x:v>Mujer</x:v>
      </x:c>
      <x:c r="C140" t="str">
        <x:v>m) 60 a 64 años</x:v>
      </x:c>
      <x:c r="D140" s="1" t="n">
        <x:v>34192</x:v>
      </x:c>
    </x:row>
    <x:row r="141">
      <x:c r="A141" t="str">
        <x:v>GUSTAVO A. MADERO</x:v>
      </x:c>
      <x:c r="B141" t="str">
        <x:v>Mujer</x:v>
      </x:c>
      <x:c r="C141" t="str">
        <x:v>n) 65 a 69 años</x:v>
      </x:c>
      <x:c r="D141" s="1" t="n">
        <x:v>26030</x:v>
      </x:c>
    </x:row>
    <x:row r="142">
      <x:c r="A142" t="str">
        <x:v>GUSTAVO A. MADERO</x:v>
      </x:c>
      <x:c r="B142" t="str">
        <x:v>Mujer</x:v>
      </x:c>
      <x:c r="C142" t="str">
        <x:v>o) 70 a 74 años</x:v>
      </x:c>
      <x:c r="D142" s="1" t="n">
        <x:v>20814</x:v>
      </x:c>
    </x:row>
    <x:row r="143">
      <x:c r="A143" t="str">
        <x:v>GUSTAVO A. MADERO</x:v>
      </x:c>
      <x:c r="B143" t="str">
        <x:v>Mujer</x:v>
      </x:c>
      <x:c r="C143" t="str">
        <x:v>p) 75 a 79 años</x:v>
      </x:c>
      <x:c r="D143" s="1" t="n">
        <x:v>14406</x:v>
      </x:c>
    </x:row>
    <x:row r="144">
      <x:c r="A144" t="str">
        <x:v>GUSTAVO A. MADERO</x:v>
      </x:c>
      <x:c r="B144" t="str">
        <x:v>Mujer</x:v>
      </x:c>
      <x:c r="C144" t="str">
        <x:v>q) 80 a 84 años</x:v>
      </x:c>
      <x:c r="D144" s="1" t="n">
        <x:v>10617</x:v>
      </x:c>
    </x:row>
    <x:row r="145">
      <x:c r="A145" t="str">
        <x:v>GUSTAVO A. MADERO</x:v>
      </x:c>
      <x:c r="B145" t="str">
        <x:v>Mujer</x:v>
      </x:c>
      <x:c r="C145" t="str">
        <x:v>r) 85 años y más</x:v>
      </x:c>
      <x:c r="D145" s="1" t="n">
        <x:v>10076</x:v>
      </x:c>
    </x:row>
    <x:row r="146">
      <x:c r="A146" t="str">
        <x:v>IZTACALCO</x:v>
      </x:c>
      <x:c r="B146" t="str">
        <x:v>Hombre</x:v>
      </x:c>
      <x:c r="C146" t="str">
        <x:v>a) 0 a 4 años</x:v>
      </x:c>
      <x:c r="D146" s="1" t="n">
        <x:v>10426</x:v>
      </x:c>
    </x:row>
    <x:row r="147">
      <x:c r="A147" t="str">
        <x:v>IZTACALCO</x:v>
      </x:c>
      <x:c r="B147" t="str">
        <x:v>Hombre</x:v>
      </x:c>
      <x:c r="C147" t="str">
        <x:v>b) 5 a 9 años</x:v>
      </x:c>
      <x:c r="D147" s="1" t="n">
        <x:v>11781</x:v>
      </x:c>
    </x:row>
    <x:row r="148">
      <x:c r="A148" t="str">
        <x:v>IZTACALCO</x:v>
      </x:c>
      <x:c r="B148" t="str">
        <x:v>Hombre</x:v>
      </x:c>
      <x:c r="C148" t="str">
        <x:v>c) 10 a 14 años</x:v>
      </x:c>
      <x:c r="D148" s="1" t="n">
        <x:v>12900</x:v>
      </x:c>
    </x:row>
    <x:row r="149">
      <x:c r="A149" t="str">
        <x:v>IZTACALCO</x:v>
      </x:c>
      <x:c r="B149" t="str">
        <x:v>Hombre</x:v>
      </x:c>
      <x:c r="C149" t="str">
        <x:v>d) 15 a 19 años</x:v>
      </x:c>
      <x:c r="D149" s="1" t="n">
        <x:v>14264</x:v>
      </x:c>
    </x:row>
    <x:row r="150">
      <x:c r="A150" t="str">
        <x:v>IZTACALCO</x:v>
      </x:c>
      <x:c r="B150" t="str">
        <x:v>Hombre</x:v>
      </x:c>
      <x:c r="C150" t="str">
        <x:v>e) 20 a 24 años</x:v>
      </x:c>
      <x:c r="D150" s="1" t="n">
        <x:v>15348</x:v>
      </x:c>
    </x:row>
    <x:row r="151">
      <x:c r="A151" t="str">
        <x:v>IZTACALCO</x:v>
      </x:c>
      <x:c r="B151" t="str">
        <x:v>Hombre</x:v>
      </x:c>
      <x:c r="C151" t="str">
        <x:v>f) 25 a 29 años</x:v>
      </x:c>
      <x:c r="D151" s="1" t="n">
        <x:v>15573</x:v>
      </x:c>
    </x:row>
    <x:row r="152">
      <x:c r="A152" t="str">
        <x:v>IZTACALCO</x:v>
      </x:c>
      <x:c r="B152" t="str">
        <x:v>Hombre</x:v>
      </x:c>
      <x:c r="C152" t="str">
        <x:v>g) 30 a 34 años</x:v>
      </x:c>
      <x:c r="D152" s="1" t="n">
        <x:v>15482</x:v>
      </x:c>
    </x:row>
    <x:row r="153">
      <x:c r="A153" t="str">
        <x:v>IZTACALCO</x:v>
      </x:c>
      <x:c r="B153" t="str">
        <x:v>Hombre</x:v>
      </x:c>
      <x:c r="C153" t="str">
        <x:v>h) 35 a 39 años</x:v>
      </x:c>
      <x:c r="D153" s="1" t="n">
        <x:v>14487</x:v>
      </x:c>
    </x:row>
    <x:row r="154">
      <x:c r="A154" t="str">
        <x:v>IZTACALCO</x:v>
      </x:c>
      <x:c r="B154" t="str">
        <x:v>Hombre</x:v>
      </x:c>
      <x:c r="C154" t="str">
        <x:v>i) 40 a 44 años</x:v>
      </x:c>
      <x:c r="D154" s="1" t="n">
        <x:v>13514</x:v>
      </x:c>
    </x:row>
    <x:row r="155">
      <x:c r="A155" t="str">
        <x:v>IZTACALCO</x:v>
      </x:c>
      <x:c r="B155" t="str">
        <x:v>Hombre</x:v>
      </x:c>
      <x:c r="C155" t="str">
        <x:v>j) 45 a 49 años</x:v>
      </x:c>
      <x:c r="D155" s="1" t="n">
        <x:v>14074</x:v>
      </x:c>
    </x:row>
    <x:row r="156">
      <x:c r="A156" t="str">
        <x:v>IZTACALCO</x:v>
      </x:c>
      <x:c r="B156" t="str">
        <x:v>Hombre</x:v>
      </x:c>
      <x:c r="C156" t="str">
        <x:v>k) 50 a 54 años</x:v>
      </x:c>
      <x:c r="D156" s="1" t="n">
        <x:v>13188</x:v>
      </x:c>
    </x:row>
    <x:row r="157">
      <x:c r="A157" t="str">
        <x:v>IZTACALCO</x:v>
      </x:c>
      <x:c r="B157" t="str">
        <x:v>Hombre</x:v>
      </x:c>
      <x:c r="C157" t="str">
        <x:v>l) 55 a 59 años</x:v>
      </x:c>
      <x:c r="D157" s="1" t="n">
        <x:v>11269</x:v>
      </x:c>
    </x:row>
    <x:row r="158">
      <x:c r="A158" t="str">
        <x:v>IZTACALCO</x:v>
      </x:c>
      <x:c r="B158" t="str">
        <x:v>Hombre</x:v>
      </x:c>
      <x:c r="C158" t="str">
        <x:v>m) 60 a 64 años</x:v>
      </x:c>
      <x:c r="D158" s="1" t="n">
        <x:v>9660</x:v>
      </x:c>
    </x:row>
    <x:row r="159">
      <x:c r="A159" t="str">
        <x:v>IZTACALCO</x:v>
      </x:c>
      <x:c r="B159" t="str">
        <x:v>Hombre</x:v>
      </x:c>
      <x:c r="C159" t="str">
        <x:v>n) 65 a 69 años</x:v>
      </x:c>
      <x:c r="D159" s="1" t="n">
        <x:v>7097</x:v>
      </x:c>
    </x:row>
    <x:row r="160">
      <x:c r="A160" t="str">
        <x:v>IZTACALCO</x:v>
      </x:c>
      <x:c r="B160" t="str">
        <x:v>Hombre</x:v>
      </x:c>
      <x:c r="C160" t="str">
        <x:v>o) 70 a 74 años</x:v>
      </x:c>
      <x:c r="D160" s="1" t="n">
        <x:v>5192</x:v>
      </x:c>
    </x:row>
    <x:row r="161">
      <x:c r="A161" t="str">
        <x:v>IZTACALCO</x:v>
      </x:c>
      <x:c r="B161" t="str">
        <x:v>Hombre</x:v>
      </x:c>
      <x:c r="C161" t="str">
        <x:v>p) 75 a 79 años</x:v>
      </x:c>
      <x:c r="D161" s="1" t="n">
        <x:v>3488</x:v>
      </x:c>
    </x:row>
    <x:row r="162">
      <x:c r="A162" t="str">
        <x:v>IZTACALCO</x:v>
      </x:c>
      <x:c r="B162" t="str">
        <x:v>Hombre</x:v>
      </x:c>
      <x:c r="C162" t="str">
        <x:v>q) 80 a 84 años</x:v>
      </x:c>
      <x:c r="D162" s="1" t="n">
        <x:v>2400</x:v>
      </x:c>
    </x:row>
    <x:row r="163">
      <x:c r="A163" t="str">
        <x:v>IZTACALCO</x:v>
      </x:c>
      <x:c r="B163" t="str">
        <x:v>Hombre</x:v>
      </x:c>
      <x:c r="C163" t="str">
        <x:v>r) 85 años y más</x:v>
      </x:c>
      <x:c r="D163" s="1" t="n">
        <x:v>2121</x:v>
      </x:c>
    </x:row>
    <x:row r="164">
      <x:c r="A164" t="str">
        <x:v>IZTACALCO</x:v>
      </x:c>
      <x:c r="B164" t="str">
        <x:v>Mujer</x:v>
      </x:c>
      <x:c r="C164" t="str">
        <x:v>a) 0 a 4 años</x:v>
      </x:c>
      <x:c r="D164" s="1" t="n">
        <x:v>10040</x:v>
      </x:c>
    </x:row>
    <x:row r="165">
      <x:c r="A165" t="str">
        <x:v>IZTACALCO</x:v>
      </x:c>
      <x:c r="B165" t="str">
        <x:v>Mujer</x:v>
      </x:c>
      <x:c r="C165" t="str">
        <x:v>b) 5 a 9 años</x:v>
      </x:c>
      <x:c r="D165" s="1" t="n">
        <x:v>11495</x:v>
      </x:c>
    </x:row>
    <x:row r="166">
      <x:c r="A166" t="str">
        <x:v>IZTACALCO</x:v>
      </x:c>
      <x:c r="B166" t="str">
        <x:v>Mujer</x:v>
      </x:c>
      <x:c r="C166" t="str">
        <x:v>c) 10 a 14 años</x:v>
      </x:c>
      <x:c r="D166" s="1" t="n">
        <x:v>12670</x:v>
      </x:c>
    </x:row>
    <x:row r="167">
      <x:c r="A167" t="str">
        <x:v>IZTACALCO</x:v>
      </x:c>
      <x:c r="B167" t="str">
        <x:v>Mujer</x:v>
      </x:c>
      <x:c r="C167" t="str">
        <x:v>d) 15 a 19 años</x:v>
      </x:c>
      <x:c r="D167" s="1" t="n">
        <x:v>13495</x:v>
      </x:c>
    </x:row>
    <x:row r="168">
      <x:c r="A168" t="str">
        <x:v>IZTACALCO</x:v>
      </x:c>
      <x:c r="B168" t="str">
        <x:v>Mujer</x:v>
      </x:c>
      <x:c r="C168" t="str">
        <x:v>e) 20 a 24 años</x:v>
      </x:c>
      <x:c r="D168" s="1" t="n">
        <x:v>15293</x:v>
      </x:c>
    </x:row>
    <x:row r="169">
      <x:c r="A169" t="str">
        <x:v>IZTACALCO</x:v>
      </x:c>
      <x:c r="B169" t="str">
        <x:v>Mujer</x:v>
      </x:c>
      <x:c r="C169" t="str">
        <x:v>f) 25 a 29 años</x:v>
      </x:c>
      <x:c r="D169" s="1" t="n">
        <x:v>16154</x:v>
      </x:c>
    </x:row>
    <x:row r="170">
      <x:c r="A170" t="str">
        <x:v>IZTACALCO</x:v>
      </x:c>
      <x:c r="B170" t="str">
        <x:v>Mujer</x:v>
      </x:c>
      <x:c r="C170" t="str">
        <x:v>g) 30 a 34 años</x:v>
      </x:c>
      <x:c r="D170" s="1" t="n">
        <x:v>16253</x:v>
      </x:c>
    </x:row>
    <x:row r="171">
      <x:c r="A171" t="str">
        <x:v>IZTACALCO</x:v>
      </x:c>
      <x:c r="B171" t="str">
        <x:v>Mujer</x:v>
      </x:c>
      <x:c r="C171" t="str">
        <x:v>h) 35 a 39 años</x:v>
      </x:c>
      <x:c r="D171" s="1" t="n">
        <x:v>15620</x:v>
      </x:c>
    </x:row>
    <x:row r="172">
      <x:c r="A172" t="str">
        <x:v>IZTACALCO</x:v>
      </x:c>
      <x:c r="B172" t="str">
        <x:v>Mujer</x:v>
      </x:c>
      <x:c r="C172" t="str">
        <x:v>i) 40 a 44 años</x:v>
      </x:c>
      <x:c r="D172" s="1" t="n">
        <x:v>15234</x:v>
      </x:c>
    </x:row>
    <x:row r="173">
      <x:c r="A173" t="str">
        <x:v>IZTACALCO</x:v>
      </x:c>
      <x:c r="B173" t="str">
        <x:v>Mujer</x:v>
      </x:c>
      <x:c r="C173" t="str">
        <x:v>j) 45 a 49 años</x:v>
      </x:c>
      <x:c r="D173" s="1" t="n">
        <x:v>16002</x:v>
      </x:c>
    </x:row>
    <x:row r="174">
      <x:c r="A174" t="str">
        <x:v>IZTACALCO</x:v>
      </x:c>
      <x:c r="B174" t="str">
        <x:v>Mujer</x:v>
      </x:c>
      <x:c r="C174" t="str">
        <x:v>k) 50 a 54 años</x:v>
      </x:c>
      <x:c r="D174" s="1" t="n">
        <x:v>15712</x:v>
      </x:c>
    </x:row>
    <x:row r="175">
      <x:c r="A175" t="str">
        <x:v>IZTACALCO</x:v>
      </x:c>
      <x:c r="B175" t="str">
        <x:v>Mujer</x:v>
      </x:c>
      <x:c r="C175" t="str">
        <x:v>l) 55 a 59 años</x:v>
      </x:c>
      <x:c r="D175" s="1" t="n">
        <x:v>13336</x:v>
      </x:c>
    </x:row>
    <x:row r="176">
      <x:c r="A176" t="str">
        <x:v>IZTACALCO</x:v>
      </x:c>
      <x:c r="B176" t="str">
        <x:v>Mujer</x:v>
      </x:c>
      <x:c r="C176" t="str">
        <x:v>m) 60 a 64 años</x:v>
      </x:c>
      <x:c r="D176" s="1" t="n">
        <x:v>12173</x:v>
      </x:c>
    </x:row>
    <x:row r="177">
      <x:c r="A177" t="str">
        <x:v>IZTACALCO</x:v>
      </x:c>
      <x:c r="B177" t="str">
        <x:v>Mujer</x:v>
      </x:c>
      <x:c r="C177" t="str">
        <x:v>n) 65 a 69 años</x:v>
      </x:c>
      <x:c r="D177" s="1" t="n">
        <x:v>9195</x:v>
      </x:c>
    </x:row>
    <x:row r="178">
      <x:c r="A178" t="str">
        <x:v>IZTACALCO</x:v>
      </x:c>
      <x:c r="B178" t="str">
        <x:v>Mujer</x:v>
      </x:c>
      <x:c r="C178" t="str">
        <x:v>o) 70 a 74 años</x:v>
      </x:c>
      <x:c r="D178" s="1" t="n">
        <x:v>7208</x:v>
      </x:c>
    </x:row>
    <x:row r="179">
      <x:c r="A179" t="str">
        <x:v>IZTACALCO</x:v>
      </x:c>
      <x:c r="B179" t="str">
        <x:v>Mujer</x:v>
      </x:c>
      <x:c r="C179" t="str">
        <x:v>p) 75 a 79 años</x:v>
      </x:c>
      <x:c r="D179" s="1" t="n">
        <x:v>4907</x:v>
      </x:c>
    </x:row>
    <x:row r="180">
      <x:c r="A180" t="str">
        <x:v>IZTACALCO</x:v>
      </x:c>
      <x:c r="B180" t="str">
        <x:v>Mujer</x:v>
      </x:c>
      <x:c r="C180" t="str">
        <x:v>q) 80 a 84 años</x:v>
      </x:c>
      <x:c r="D180" s="1" t="n">
        <x:v>3774</x:v>
      </x:c>
    </x:row>
    <x:row r="181">
      <x:c r="A181" t="str">
        <x:v>IZTACALCO</x:v>
      </x:c>
      <x:c r="B181" t="str">
        <x:v>Mujer</x:v>
      </x:c>
      <x:c r="C181" t="str">
        <x:v>r) 85 años y más</x:v>
      </x:c>
      <x:c r="D181" s="1" t="n">
        <x:v>3692</x:v>
      </x:c>
    </x:row>
    <x:row r="182">
      <x:c r="A182" t="str">
        <x:v>IZTAPALAPA</x:v>
      </x:c>
      <x:c r="B182" t="str">
        <x:v>Hombre</x:v>
      </x:c>
      <x:c r="C182" t="str">
        <x:v>a) 0 a 4 años</x:v>
      </x:c>
      <x:c r="D182" s="1" t="n">
        <x:v>52070</x:v>
      </x:c>
    </x:row>
    <x:row r="183">
      <x:c r="A183" t="str">
        <x:v>IZTAPALAPA</x:v>
      </x:c>
      <x:c r="B183" t="str">
        <x:v>Hombre</x:v>
      </x:c>
      <x:c r="C183" t="str">
        <x:v>b) 5 a 9 años</x:v>
      </x:c>
      <x:c r="D183" s="1" t="n">
        <x:v>64449</x:v>
      </x:c>
    </x:row>
    <x:row r="184">
      <x:c r="A184" t="str">
        <x:v>IZTAPALAPA</x:v>
      </x:c>
      <x:c r="B184" t="str">
        <x:v>Hombre</x:v>
      </x:c>
      <x:c r="C184" t="str">
        <x:v>c) 10 a 14 años</x:v>
      </x:c>
      <x:c r="D184" s="1" t="n">
        <x:v>69528</x:v>
      </x:c>
    </x:row>
    <x:row r="185">
      <x:c r="A185" t="str">
        <x:v>IZTAPALAPA</x:v>
      </x:c>
      <x:c r="B185" t="str">
        <x:v>Hombre</x:v>
      </x:c>
      <x:c r="C185" t="str">
        <x:v>d) 15 a 19 años</x:v>
      </x:c>
      <x:c r="D185" s="1" t="n">
        <x:v>73108</x:v>
      </x:c>
    </x:row>
    <x:row r="186">
      <x:c r="A186" t="str">
        <x:v>IZTAPALAPA</x:v>
      </x:c>
      <x:c r="B186" t="str">
        <x:v>Hombre</x:v>
      </x:c>
      <x:c r="C186" t="str">
        <x:v>e) 20 a 24 años</x:v>
      </x:c>
      <x:c r="D186" s="1" t="n">
        <x:v>75828</x:v>
      </x:c>
    </x:row>
    <x:row r="187">
      <x:c r="A187" t="str">
        <x:v>IZTAPALAPA</x:v>
      </x:c>
      <x:c r="B187" t="str">
        <x:v>Hombre</x:v>
      </x:c>
      <x:c r="C187" t="str">
        <x:v>f) 25 a 29 años</x:v>
      </x:c>
      <x:c r="D187" s="1" t="n">
        <x:v>75498</x:v>
      </x:c>
    </x:row>
    <x:row r="188">
      <x:c r="A188" t="str">
        <x:v>IZTAPALAPA</x:v>
      </x:c>
      <x:c r="B188" t="str">
        <x:v>Hombre</x:v>
      </x:c>
      <x:c r="C188" t="str">
        <x:v>g) 30 a 34 años</x:v>
      </x:c>
      <x:c r="D188" s="1" t="n">
        <x:v>71308</x:v>
      </x:c>
    </x:row>
    <x:row r="189">
      <x:c r="A189" t="str">
        <x:v>IZTAPALAPA</x:v>
      </x:c>
      <x:c r="B189" t="str">
        <x:v>Hombre</x:v>
      </x:c>
      <x:c r="C189" t="str">
        <x:v>h) 35 a 39 años</x:v>
      </x:c>
      <x:c r="D189" s="1" t="n">
        <x:v>66445</x:v>
      </x:c>
    </x:row>
    <x:row r="190">
      <x:c r="A190" t="str">
        <x:v>IZTAPALAPA</x:v>
      </x:c>
      <x:c r="B190" t="str">
        <x:v>Hombre</x:v>
      </x:c>
      <x:c r="C190" t="str">
        <x:v>i) 40 a 44 años</x:v>
      </x:c>
      <x:c r="D190" s="1" t="n">
        <x:v>62646</x:v>
      </x:c>
    </x:row>
    <x:row r="191">
      <x:c r="A191" t="str">
        <x:v>IZTAPALAPA</x:v>
      </x:c>
      <x:c r="B191" t="str">
        <x:v>Hombre</x:v>
      </x:c>
      <x:c r="C191" t="str">
        <x:v>j) 45 a 49 años</x:v>
      </x:c>
      <x:c r="D191" s="1" t="n">
        <x:v>61013</x:v>
      </x:c>
    </x:row>
    <x:row r="192">
      <x:c r="A192" t="str">
        <x:v>IZTAPALAPA</x:v>
      </x:c>
      <x:c r="B192" t="str">
        <x:v>Hombre</x:v>
      </x:c>
      <x:c r="C192" t="str">
        <x:v>k) 50 a 54 años</x:v>
      </x:c>
      <x:c r="D192" s="1" t="n">
        <x:v>54898</x:v>
      </x:c>
    </x:row>
    <x:row r="193">
      <x:c r="A193" t="str">
        <x:v>IZTAPALAPA</x:v>
      </x:c>
      <x:c r="B193" t="str">
        <x:v>Hombre</x:v>
      </x:c>
      <x:c r="C193" t="str">
        <x:v>l) 55 a 59 años</x:v>
      </x:c>
      <x:c r="D193" s="1" t="n">
        <x:v>45370</x:v>
      </x:c>
    </x:row>
    <x:row r="194">
      <x:c r="A194" t="str">
        <x:v>IZTAPALAPA</x:v>
      </x:c>
      <x:c r="B194" t="str">
        <x:v>Hombre</x:v>
      </x:c>
      <x:c r="C194" t="str">
        <x:v>m) 60 a 64 años</x:v>
      </x:c>
      <x:c r="D194" s="1" t="n">
        <x:v>39606</x:v>
      </x:c>
    </x:row>
    <x:row r="195">
      <x:c r="A195" t="str">
        <x:v>IZTAPALAPA</x:v>
      </x:c>
      <x:c r="B195" t="str">
        <x:v>Hombre</x:v>
      </x:c>
      <x:c r="C195" t="str">
        <x:v>n) 65 a 69 años</x:v>
      </x:c>
      <x:c r="D195" s="1" t="n">
        <x:v>29058</x:v>
      </x:c>
    </x:row>
    <x:row r="196">
      <x:c r="A196" t="str">
        <x:v>IZTAPALAPA</x:v>
      </x:c>
      <x:c r="B196" t="str">
        <x:v>Hombre</x:v>
      </x:c>
      <x:c r="C196" t="str">
        <x:v>o) 70 a 74 años</x:v>
      </x:c>
      <x:c r="D196" s="1" t="n">
        <x:v>20815</x:v>
      </x:c>
    </x:row>
    <x:row r="197">
      <x:c r="A197" t="str">
        <x:v>IZTAPALAPA</x:v>
      </x:c>
      <x:c r="B197" t="str">
        <x:v>Hombre</x:v>
      </x:c>
      <x:c r="C197" t="str">
        <x:v>p) 75 a 79 años</x:v>
      </x:c>
      <x:c r="D197" s="1" t="n">
        <x:v>12994</x:v>
      </x:c>
    </x:row>
    <x:row r="198">
      <x:c r="A198" t="str">
        <x:v>IZTAPALAPA</x:v>
      </x:c>
      <x:c r="B198" t="str">
        <x:v>Hombre</x:v>
      </x:c>
      <x:c r="C198" t="str">
        <x:v>q) 80 a 84 años</x:v>
      </x:c>
      <x:c r="D198" s="1" t="n">
        <x:v>7309</x:v>
      </x:c>
    </x:row>
    <x:row r="199">
      <x:c r="A199" t="str">
        <x:v>IZTAPALAPA</x:v>
      </x:c>
      <x:c r="B199" t="str">
        <x:v>Hombre</x:v>
      </x:c>
      <x:c r="C199" t="str">
        <x:v>r) 85 años y más</x:v>
      </x:c>
      <x:c r="D199" s="1" t="n">
        <x:v>5513</x:v>
      </x:c>
    </x:row>
    <x:row r="200">
      <x:c r="A200" t="str">
        <x:v>IZTAPALAPA</x:v>
      </x:c>
      <x:c r="B200" t="str">
        <x:v>Mujer</x:v>
      </x:c>
      <x:c r="C200" t="str">
        <x:v>a) 0 a 4 años</x:v>
      </x:c>
      <x:c r="D200" s="1" t="n">
        <x:v>51078</x:v>
      </x:c>
    </x:row>
    <x:row r="201">
      <x:c r="A201" t="str">
        <x:v>IZTAPALAPA</x:v>
      </x:c>
      <x:c r="B201" t="str">
        <x:v>Mujer</x:v>
      </x:c>
      <x:c r="C201" t="str">
        <x:v>b) 5 a 9 años</x:v>
      </x:c>
      <x:c r="D201" s="1" t="n">
        <x:v>62279</x:v>
      </x:c>
    </x:row>
    <x:row r="202">
      <x:c r="A202" t="str">
        <x:v>IZTAPALAPA</x:v>
      </x:c>
      <x:c r="B202" t="str">
        <x:v>Mujer</x:v>
      </x:c>
      <x:c r="C202" t="str">
        <x:v>c) 10 a 14 años</x:v>
      </x:c>
      <x:c r="D202" s="1" t="n">
        <x:v>67431</x:v>
      </x:c>
    </x:row>
    <x:row r="203">
      <x:c r="A203" t="str">
        <x:v>IZTAPALAPA</x:v>
      </x:c>
      <x:c r="B203" t="str">
        <x:v>Mujer</x:v>
      </x:c>
      <x:c r="C203" t="str">
        <x:v>d) 15 a 19 años</x:v>
      </x:c>
      <x:c r="D203" s="1" t="n">
        <x:v>70085</x:v>
      </x:c>
    </x:row>
    <x:row r="204">
      <x:c r="A204" t="str">
        <x:v>IZTAPALAPA</x:v>
      </x:c>
      <x:c r="B204" t="str">
        <x:v>Mujer</x:v>
      </x:c>
      <x:c r="C204" t="str">
        <x:v>e) 20 a 24 años</x:v>
      </x:c>
      <x:c r="D204" s="1" t="n">
        <x:v>74912</x:v>
      </x:c>
    </x:row>
    <x:row r="205">
      <x:c r="A205" t="str">
        <x:v>IZTAPALAPA</x:v>
      </x:c>
      <x:c r="B205" t="str">
        <x:v>Mujer</x:v>
      </x:c>
      <x:c r="C205" t="str">
        <x:v>f) 25 a 29 años</x:v>
      </x:c>
      <x:c r="D205" s="1" t="n">
        <x:v>76092</x:v>
      </x:c>
    </x:row>
    <x:row r="206">
      <x:c r="A206" t="str">
        <x:v>IZTAPALAPA</x:v>
      </x:c>
      <x:c r="B206" t="str">
        <x:v>Mujer</x:v>
      </x:c>
      <x:c r="C206" t="str">
        <x:v>g) 30 a 34 años</x:v>
      </x:c>
      <x:c r="D206" s="1" t="n">
        <x:v>73562</x:v>
      </x:c>
    </x:row>
    <x:row r="207">
      <x:c r="A207" t="str">
        <x:v>IZTAPALAPA</x:v>
      </x:c>
      <x:c r="B207" t="str">
        <x:v>Mujer</x:v>
      </x:c>
      <x:c r="C207" t="str">
        <x:v>h) 35 a 39 años</x:v>
      </x:c>
      <x:c r="D207" s="1" t="n">
        <x:v>70485</x:v>
      </x:c>
    </x:row>
    <x:row r="208">
      <x:c r="A208" t="str">
        <x:v>IZTAPALAPA</x:v>
      </x:c>
      <x:c r="B208" t="str">
        <x:v>Mujer</x:v>
      </x:c>
      <x:c r="C208" t="str">
        <x:v>i) 40 a 44 años</x:v>
      </x:c>
      <x:c r="D208" s="1" t="n">
        <x:v>68867</x:v>
      </x:c>
    </x:row>
    <x:row r="209">
      <x:c r="A209" t="str">
        <x:v>IZTAPALAPA</x:v>
      </x:c>
      <x:c r="B209" t="str">
        <x:v>Mujer</x:v>
      </x:c>
      <x:c r="C209" t="str">
        <x:v>j) 45 a 49 años</x:v>
      </x:c>
      <x:c r="D209" s="1" t="n">
        <x:v>68372</x:v>
      </x:c>
    </x:row>
    <x:row r="210">
      <x:c r="A210" t="str">
        <x:v>IZTAPALAPA</x:v>
      </x:c>
      <x:c r="B210" t="str">
        <x:v>Mujer</x:v>
      </x:c>
      <x:c r="C210" t="str">
        <x:v>k) 50 a 54 años</x:v>
      </x:c>
      <x:c r="D210" s="1" t="n">
        <x:v>63783</x:v>
      </x:c>
    </x:row>
    <x:row r="211">
      <x:c r="A211" t="str">
        <x:v>IZTAPALAPA</x:v>
      </x:c>
      <x:c r="B211" t="str">
        <x:v>Mujer</x:v>
      </x:c>
      <x:c r="C211" t="str">
        <x:v>l) 55 a 59 años</x:v>
      </x:c>
      <x:c r="D211" s="1" t="n">
        <x:v>53920</x:v>
      </x:c>
    </x:row>
    <x:row r="212">
      <x:c r="A212" t="str">
        <x:v>IZTAPALAPA</x:v>
      </x:c>
      <x:c r="B212" t="str">
        <x:v>Mujer</x:v>
      </x:c>
      <x:c r="C212" t="str">
        <x:v>m) 60 a 64 años</x:v>
      </x:c>
      <x:c r="D212" s="1" t="n">
        <x:v>48146</x:v>
      </x:c>
    </x:row>
    <x:row r="213">
      <x:c r="A213" t="str">
        <x:v>IZTAPALAPA</x:v>
      </x:c>
      <x:c r="B213" t="str">
        <x:v>Mujer</x:v>
      </x:c>
      <x:c r="C213" t="str">
        <x:v>n) 65 a 69 años</x:v>
      </x:c>
      <x:c r="D213" s="1" t="n">
        <x:v>35877</x:v>
      </x:c>
    </x:row>
    <x:row r="214">
      <x:c r="A214" t="str">
        <x:v>IZTAPALAPA</x:v>
      </x:c>
      <x:c r="B214" t="str">
        <x:v>Mujer</x:v>
      </x:c>
      <x:c r="C214" t="str">
        <x:v>o) 70 a 74 años</x:v>
      </x:c>
      <x:c r="D214" s="1" t="n">
        <x:v>26051</x:v>
      </x:c>
    </x:row>
    <x:row r="215">
      <x:c r="A215" t="str">
        <x:v>IZTAPALAPA</x:v>
      </x:c>
      <x:c r="B215" t="str">
        <x:v>Mujer</x:v>
      </x:c>
      <x:c r="C215" t="str">
        <x:v>p) 75 a 79 años</x:v>
      </x:c>
      <x:c r="D215" s="1" t="n">
        <x:v>16469</x:v>
      </x:c>
    </x:row>
    <x:row r="216">
      <x:c r="A216" t="str">
        <x:v>IZTAPALAPA</x:v>
      </x:c>
      <x:c r="B216" t="str">
        <x:v>Mujer</x:v>
      </x:c>
      <x:c r="C216" t="str">
        <x:v>q) 80 a 84 años</x:v>
      </x:c>
      <x:c r="D216" s="1" t="n">
        <x:v>10539</x:v>
      </x:c>
    </x:row>
    <x:row r="217">
      <x:c r="A217" t="str">
        <x:v>IZTAPALAPA</x:v>
      </x:c>
      <x:c r="B217" t="str">
        <x:v>Mujer</x:v>
      </x:c>
      <x:c r="C217" t="str">
        <x:v>r) 85 años y más</x:v>
      </x:c>
      <x:c r="D217" s="1" t="n">
        <x:v>9687</x:v>
      </x:c>
    </x:row>
    <x:row r="218">
      <x:c r="A218" t="str">
        <x:v>LA MAGDALENA CONTRERAS</x:v>
      </x:c>
      <x:c r="B218" t="str">
        <x:v>Hombre</x:v>
      </x:c>
      <x:c r="C218" t="str">
        <x:v>a) 0 a 4 años</x:v>
      </x:c>
      <x:c r="D218" s="1" t="n">
        <x:v>6512</x:v>
      </x:c>
    </x:row>
    <x:row r="219">
      <x:c r="A219" t="str">
        <x:v>LA MAGDALENA CONTRERAS</x:v>
      </x:c>
      <x:c r="B219" t="str">
        <x:v>Hombre</x:v>
      </x:c>
      <x:c r="C219" t="str">
        <x:v>b) 5 a 9 años</x:v>
      </x:c>
      <x:c r="D219" s="1" t="n">
        <x:v>8278</x:v>
      </x:c>
    </x:row>
    <x:row r="220">
      <x:c r="A220" t="str">
        <x:v>LA MAGDALENA CONTRERAS</x:v>
      </x:c>
      <x:c r="B220" t="str">
        <x:v>Hombre</x:v>
      </x:c>
      <x:c r="C220" t="str">
        <x:v>c) 10 a 14 años</x:v>
      </x:c>
      <x:c r="D220" s="1" t="n">
        <x:v>9066</x:v>
      </x:c>
    </x:row>
    <x:row r="221">
      <x:c r="A221" t="str">
        <x:v>LA MAGDALENA CONTRERAS</x:v>
      </x:c>
      <x:c r="B221" t="str">
        <x:v>Hombre</x:v>
      </x:c>
      <x:c r="C221" t="str">
        <x:v>d) 15 a 19 años</x:v>
      </x:c>
      <x:c r="D221" s="1" t="n">
        <x:v>9585</x:v>
      </x:c>
    </x:row>
    <x:row r="222">
      <x:c r="A222" t="str">
        <x:v>LA MAGDALENA CONTRERAS</x:v>
      </x:c>
      <x:c r="B222" t="str">
        <x:v>Hombre</x:v>
      </x:c>
      <x:c r="C222" t="str">
        <x:v>e) 20 a 24 años</x:v>
      </x:c>
      <x:c r="D222" s="1" t="n">
        <x:v>10068</x:v>
      </x:c>
    </x:row>
    <x:row r="223">
      <x:c r="A223" t="str">
        <x:v>LA MAGDALENA CONTRERAS</x:v>
      </x:c>
      <x:c r="B223" t="str">
        <x:v>Hombre</x:v>
      </x:c>
      <x:c r="C223" t="str">
        <x:v>f) 25 a 29 años</x:v>
      </x:c>
      <x:c r="D223" s="1" t="n">
        <x:v>9763</x:v>
      </x:c>
    </x:row>
    <x:row r="224">
      <x:c r="A224" t="str">
        <x:v>LA MAGDALENA CONTRERAS</x:v>
      </x:c>
      <x:c r="B224" t="str">
        <x:v>Hombre</x:v>
      </x:c>
      <x:c r="C224" t="str">
        <x:v>g) 30 a 34 años</x:v>
      </x:c>
      <x:c r="D224" s="1" t="n">
        <x:v>8855</x:v>
      </x:c>
    </x:row>
    <x:row r="225">
      <x:c r="A225" t="str">
        <x:v>LA MAGDALENA CONTRERAS</x:v>
      </x:c>
      <x:c r="B225" t="str">
        <x:v>Hombre</x:v>
      </x:c>
      <x:c r="C225" t="str">
        <x:v>h) 35 a 39 años</x:v>
      </x:c>
      <x:c r="D225" s="1" t="n">
        <x:v>8479</x:v>
      </x:c>
    </x:row>
    <x:row r="226">
      <x:c r="A226" t="str">
        <x:v>LA MAGDALENA CONTRERAS</x:v>
      </x:c>
      <x:c r="B226" t="str">
        <x:v>Hombre</x:v>
      </x:c>
      <x:c r="C226" t="str">
        <x:v>i) 40 a 44 años</x:v>
      </x:c>
      <x:c r="D226" s="1" t="n">
        <x:v>8278</x:v>
      </x:c>
    </x:row>
    <x:row r="227">
      <x:c r="A227" t="str">
        <x:v>LA MAGDALENA CONTRERAS</x:v>
      </x:c>
      <x:c r="B227" t="str">
        <x:v>Hombre</x:v>
      </x:c>
      <x:c r="C227" t="str">
        <x:v>j) 45 a 49 años</x:v>
      </x:c>
      <x:c r="D227" s="1" t="n">
        <x:v>8791</x:v>
      </x:c>
    </x:row>
    <x:row r="228">
      <x:c r="A228" t="str">
        <x:v>LA MAGDALENA CONTRERAS</x:v>
      </x:c>
      <x:c r="B228" t="str">
        <x:v>Hombre</x:v>
      </x:c>
      <x:c r="C228" t="str">
        <x:v>k) 50 a 54 años</x:v>
      </x:c>
      <x:c r="D228" s="1" t="n">
        <x:v>7915</x:v>
      </x:c>
    </x:row>
    <x:row r="229">
      <x:c r="A229" t="str">
        <x:v>LA MAGDALENA CONTRERAS</x:v>
      </x:c>
      <x:c r="B229" t="str">
        <x:v>Hombre</x:v>
      </x:c>
      <x:c r="C229" t="str">
        <x:v>l) 55 a 59 años</x:v>
      </x:c>
      <x:c r="D229" s="1" t="n">
        <x:v>6251</x:v>
      </x:c>
    </x:row>
    <x:row r="230">
      <x:c r="A230" t="str">
        <x:v>LA MAGDALENA CONTRERAS</x:v>
      </x:c>
      <x:c r="B230" t="str">
        <x:v>Hombre</x:v>
      </x:c>
      <x:c r="C230" t="str">
        <x:v>m) 60 a 64 años</x:v>
      </x:c>
      <x:c r="D230" s="1" t="n">
        <x:v>5424</x:v>
      </x:c>
    </x:row>
    <x:row r="231">
      <x:c r="A231" t="str">
        <x:v>LA MAGDALENA CONTRERAS</x:v>
      </x:c>
      <x:c r="B231" t="str">
        <x:v>Hombre</x:v>
      </x:c>
      <x:c r="C231" t="str">
        <x:v>n) 65 a 69 años</x:v>
      </x:c>
      <x:c r="D231" s="1" t="n">
        <x:v>4035</x:v>
      </x:c>
    </x:row>
    <x:row r="232">
      <x:c r="A232" t="str">
        <x:v>LA MAGDALENA CONTRERAS</x:v>
      </x:c>
      <x:c r="B232" t="str">
        <x:v>Hombre</x:v>
      </x:c>
      <x:c r="C232" t="str">
        <x:v>o) 70 a 74 años</x:v>
      </x:c>
      <x:c r="D232" s="1" t="n">
        <x:v>3072</x:v>
      </x:c>
    </x:row>
    <x:row r="233">
      <x:c r="A233" t="str">
        <x:v>LA MAGDALENA CONTRERAS</x:v>
      </x:c>
      <x:c r="B233" t="str">
        <x:v>Hombre</x:v>
      </x:c>
      <x:c r="C233" t="str">
        <x:v>p) 75 a 79 años</x:v>
      </x:c>
      <x:c r="D233" s="1" t="n">
        <x:v>1899</x:v>
      </x:c>
    </x:row>
    <x:row r="234">
      <x:c r="A234" t="str">
        <x:v>LA MAGDALENA CONTRERAS</x:v>
      </x:c>
      <x:c r="B234" t="str">
        <x:v>Hombre</x:v>
      </x:c>
      <x:c r="C234" t="str">
        <x:v>q) 80 a 84 años</x:v>
      </x:c>
      <x:c r="D234" s="1" t="n">
        <x:v>1096</x:v>
      </x:c>
    </x:row>
    <x:row r="235">
      <x:c r="A235" t="str">
        <x:v>LA MAGDALENA CONTRERAS</x:v>
      </x:c>
      <x:c r="B235" t="str">
        <x:v>Hombre</x:v>
      </x:c>
      <x:c r="C235" t="str">
        <x:v>r) 85 años y más</x:v>
      </x:c>
      <x:c r="D235" s="1" t="n">
        <x:v>901</x:v>
      </x:c>
    </x:row>
    <x:row r="236">
      <x:c r="A236" t="str">
        <x:v>LA MAGDALENA CONTRERAS</x:v>
      </x:c>
      <x:c r="B236" t="str">
        <x:v>Mujer</x:v>
      </x:c>
      <x:c r="C236" t="str">
        <x:v>a) 0 a 4 años</x:v>
      </x:c>
      <x:c r="D236" s="1" t="n">
        <x:v>6500</x:v>
      </x:c>
    </x:row>
    <x:row r="237">
      <x:c r="A237" t="str">
        <x:v>LA MAGDALENA CONTRERAS</x:v>
      </x:c>
      <x:c r="B237" t="str">
        <x:v>Mujer</x:v>
      </x:c>
      <x:c r="C237" t="str">
        <x:v>b) 5 a 9 años</x:v>
      </x:c>
      <x:c r="D237" s="1" t="n">
        <x:v>7992</x:v>
      </x:c>
    </x:row>
    <x:row r="238">
      <x:c r="A238" t="str">
        <x:v>LA MAGDALENA CONTRERAS</x:v>
      </x:c>
      <x:c r="B238" t="str">
        <x:v>Mujer</x:v>
      </x:c>
      <x:c r="C238" t="str">
        <x:v>c) 10 a 14 años</x:v>
      </x:c>
      <x:c r="D238" s="1" t="n">
        <x:v>9030</x:v>
      </x:c>
    </x:row>
    <x:row r="239">
      <x:c r="A239" t="str">
        <x:v>LA MAGDALENA CONTRERAS</x:v>
      </x:c>
      <x:c r="B239" t="str">
        <x:v>Mujer</x:v>
      </x:c>
      <x:c r="C239" t="str">
        <x:v>d) 15 a 19 años</x:v>
      </x:c>
      <x:c r="D239" s="1" t="n">
        <x:v>9304</x:v>
      </x:c>
    </x:row>
    <x:row r="240">
      <x:c r="A240" t="str">
        <x:v>LA MAGDALENA CONTRERAS</x:v>
      </x:c>
      <x:c r="B240" t="str">
        <x:v>Mujer</x:v>
      </x:c>
      <x:c r="C240" t="str">
        <x:v>e) 20 a 24 años</x:v>
      </x:c>
      <x:c r="D240" s="1" t="n">
        <x:v>9901</x:v>
      </x:c>
    </x:row>
    <x:row r="241">
      <x:c r="A241" t="str">
        <x:v>LA MAGDALENA CONTRERAS</x:v>
      </x:c>
      <x:c r="B241" t="str">
        <x:v>Mujer</x:v>
      </x:c>
      <x:c r="C241" t="str">
        <x:v>f) 25 a 29 años</x:v>
      </x:c>
      <x:c r="D241" s="1" t="n">
        <x:v>10070</x:v>
      </x:c>
    </x:row>
    <x:row r="242">
      <x:c r="A242" t="str">
        <x:v>LA MAGDALENA CONTRERAS</x:v>
      </x:c>
      <x:c r="B242" t="str">
        <x:v>Mujer</x:v>
      </x:c>
      <x:c r="C242" t="str">
        <x:v>g) 30 a 34 años</x:v>
      </x:c>
      <x:c r="D242" s="1" t="n">
        <x:v>9287</x:v>
      </x:c>
    </x:row>
    <x:row r="243">
      <x:c r="A243" t="str">
        <x:v>LA MAGDALENA CONTRERAS</x:v>
      </x:c>
      <x:c r="B243" t="str">
        <x:v>Mujer</x:v>
      </x:c>
      <x:c r="C243" t="str">
        <x:v>h) 35 a 39 años</x:v>
      </x:c>
      <x:c r="D243" s="1" t="n">
        <x:v>9198</x:v>
      </x:c>
    </x:row>
    <x:row r="244">
      <x:c r="A244" t="str">
        <x:v>LA MAGDALENA CONTRERAS</x:v>
      </x:c>
      <x:c r="B244" t="str">
        <x:v>Mujer</x:v>
      </x:c>
      <x:c r="C244" t="str">
        <x:v>i) 40 a 44 años</x:v>
      </x:c>
      <x:c r="D244" s="1" t="n">
        <x:v>9538</x:v>
      </x:c>
    </x:row>
    <x:row r="245">
      <x:c r="A245" t="str">
        <x:v>LA MAGDALENA CONTRERAS</x:v>
      </x:c>
      <x:c r="B245" t="str">
        <x:v>Mujer</x:v>
      </x:c>
      <x:c r="C245" t="str">
        <x:v>j) 45 a 49 años</x:v>
      </x:c>
      <x:c r="D245" s="1" t="n">
        <x:v>10030</x:v>
      </x:c>
    </x:row>
    <x:row r="246">
      <x:c r="A246" t="str">
        <x:v>LA MAGDALENA CONTRERAS</x:v>
      </x:c>
      <x:c r="B246" t="str">
        <x:v>Mujer</x:v>
      </x:c>
      <x:c r="C246" t="str">
        <x:v>k) 50 a 54 años</x:v>
      </x:c>
      <x:c r="D246" s="1" t="n">
        <x:v>9319</x:v>
      </x:c>
    </x:row>
    <x:row r="247">
      <x:c r="A247" t="str">
        <x:v>LA MAGDALENA CONTRERAS</x:v>
      </x:c>
      <x:c r="B247" t="str">
        <x:v>Mujer</x:v>
      </x:c>
      <x:c r="C247" t="str">
        <x:v>l) 55 a 59 años</x:v>
      </x:c>
      <x:c r="D247" s="1" t="n">
        <x:v>7496</x:v>
      </x:c>
    </x:row>
    <x:row r="248">
      <x:c r="A248" t="str">
        <x:v>LA MAGDALENA CONTRERAS</x:v>
      </x:c>
      <x:c r="B248" t="str">
        <x:v>Mujer</x:v>
      </x:c>
      <x:c r="C248" t="str">
        <x:v>m) 60 a 64 años</x:v>
      </x:c>
      <x:c r="D248" s="1" t="n">
        <x:v>6583</x:v>
      </x:c>
    </x:row>
    <x:row r="249">
      <x:c r="A249" t="str">
        <x:v>LA MAGDALENA CONTRERAS</x:v>
      </x:c>
      <x:c r="B249" t="str">
        <x:v>Mujer</x:v>
      </x:c>
      <x:c r="C249" t="str">
        <x:v>n) 65 a 69 años</x:v>
      </x:c>
      <x:c r="D249" s="1" t="n">
        <x:v>5213</x:v>
      </x:c>
    </x:row>
    <x:row r="250">
      <x:c r="A250" t="str">
        <x:v>LA MAGDALENA CONTRERAS</x:v>
      </x:c>
      <x:c r="B250" t="str">
        <x:v>Mujer</x:v>
      </x:c>
      <x:c r="C250" t="str">
        <x:v>o) 70 a 74 años</x:v>
      </x:c>
      <x:c r="D250" s="1" t="n">
        <x:v>3774</x:v>
      </x:c>
    </x:row>
    <x:row r="251">
      <x:c r="A251" t="str">
        <x:v>LA MAGDALENA CONTRERAS</x:v>
      </x:c>
      <x:c r="B251" t="str">
        <x:v>Mujer</x:v>
      </x:c>
      <x:c r="C251" t="str">
        <x:v>p) 75 a 79 años</x:v>
      </x:c>
      <x:c r="D251" s="1" t="n">
        <x:v>2583</x:v>
      </x:c>
    </x:row>
    <x:row r="252">
      <x:c r="A252" t="str">
        <x:v>LA MAGDALENA CONTRERAS</x:v>
      </x:c>
      <x:c r="B252" t="str">
        <x:v>Mujer</x:v>
      </x:c>
      <x:c r="C252" t="str">
        <x:v>q) 80 a 84 años</x:v>
      </x:c>
      <x:c r="D252" s="1" t="n">
        <x:v>1736</x:v>
      </x:c>
    </x:row>
    <x:row r="253">
      <x:c r="A253" t="str">
        <x:v>LA MAGDALENA CONTRERAS</x:v>
      </x:c>
      <x:c r="B253" t="str">
        <x:v>Mujer</x:v>
      </x:c>
      <x:c r="C253" t="str">
        <x:v>r) 85 años y más</x:v>
      </x:c>
      <x:c r="D253" s="1" t="n">
        <x:v>1757</x:v>
      </x:c>
    </x:row>
    <x:row r="254">
      <x:c r="A254" t="str">
        <x:v>MILPA ALTA</x:v>
      </x:c>
      <x:c r="B254" t="str">
        <x:v>Hombre</x:v>
      </x:c>
      <x:c r="C254" t="str">
        <x:v>a) 0 a 4 años</x:v>
      </x:c>
      <x:c r="D254" s="1" t="n">
        <x:v>5173</x:v>
      </x:c>
    </x:row>
    <x:row r="255">
      <x:c r="A255" t="str">
        <x:v>MILPA ALTA</x:v>
      </x:c>
      <x:c r="B255" t="str">
        <x:v>Hombre</x:v>
      </x:c>
      <x:c r="C255" t="str">
        <x:v>b) 5 a 9 años</x:v>
      </x:c>
      <x:c r="D255" s="1" t="n">
        <x:v>6368</x:v>
      </x:c>
    </x:row>
    <x:row r="256">
      <x:c r="A256" t="str">
        <x:v>MILPA ALTA</x:v>
      </x:c>
      <x:c r="B256" t="str">
        <x:v>Hombre</x:v>
      </x:c>
      <x:c r="C256" t="str">
        <x:v>c) 10 a 14 años</x:v>
      </x:c>
      <x:c r="D256" s="1" t="n">
        <x:v>6719</x:v>
      </x:c>
    </x:row>
    <x:row r="257">
      <x:c r="A257" t="str">
        <x:v>MILPA ALTA</x:v>
      </x:c>
      <x:c r="B257" t="str">
        <x:v>Hombre</x:v>
      </x:c>
      <x:c r="C257" t="str">
        <x:v>d) 15 a 19 años</x:v>
      </x:c>
      <x:c r="D257" s="1" t="n">
        <x:v>6977</x:v>
      </x:c>
    </x:row>
    <x:row r="258">
      <x:c r="A258" t="str">
        <x:v>MILPA ALTA</x:v>
      </x:c>
      <x:c r="B258" t="str">
        <x:v>Hombre</x:v>
      </x:c>
      <x:c r="C258" t="str">
        <x:v>e) 20 a 24 años</x:v>
      </x:c>
      <x:c r="D258" s="1" t="n">
        <x:v>6748</x:v>
      </x:c>
    </x:row>
    <x:row r="259">
      <x:c r="A259" t="str">
        <x:v>MILPA ALTA</x:v>
      </x:c>
      <x:c r="B259" t="str">
        <x:v>Hombre</x:v>
      </x:c>
      <x:c r="C259" t="str">
        <x:v>f) 25 a 29 años</x:v>
      </x:c>
      <x:c r="D259" s="1" t="n">
        <x:v>6303</x:v>
      </x:c>
    </x:row>
    <x:row r="260">
      <x:c r="A260" t="str">
        <x:v>MILPA ALTA</x:v>
      </x:c>
      <x:c r="B260" t="str">
        <x:v>Hombre</x:v>
      </x:c>
      <x:c r="C260" t="str">
        <x:v>g) 30 a 34 años</x:v>
      </x:c>
      <x:c r="D260" s="1" t="n">
        <x:v>5577</x:v>
      </x:c>
    </x:row>
    <x:row r="261">
      <x:c r="A261" t="str">
        <x:v>MILPA ALTA</x:v>
      </x:c>
      <x:c r="B261" t="str">
        <x:v>Hombre</x:v>
      </x:c>
      <x:c r="C261" t="str">
        <x:v>h) 35 a 39 años</x:v>
      </x:c>
      <x:c r="D261" s="1" t="n">
        <x:v>5176</x:v>
      </x:c>
    </x:row>
    <x:row r="262">
      <x:c r="A262" t="str">
        <x:v>MILPA ALTA</x:v>
      </x:c>
      <x:c r="B262" t="str">
        <x:v>Hombre</x:v>
      </x:c>
      <x:c r="C262" t="str">
        <x:v>i) 40 a 44 años</x:v>
      </x:c>
      <x:c r="D262" s="1" t="n">
        <x:v>4984</x:v>
      </x:c>
    </x:row>
    <x:row r="263">
      <x:c r="A263" t="str">
        <x:v>MILPA ALTA</x:v>
      </x:c>
      <x:c r="B263" t="str">
        <x:v>Hombre</x:v>
      </x:c>
      <x:c r="C263" t="str">
        <x:v>j) 45 a 49 años</x:v>
      </x:c>
      <x:c r="D263" s="1" t="n">
        <x:v>4838</x:v>
      </x:c>
    </x:row>
    <x:row r="264">
      <x:c r="A264" t="str">
        <x:v>MILPA ALTA</x:v>
      </x:c>
      <x:c r="B264" t="str">
        <x:v>Hombre</x:v>
      </x:c>
      <x:c r="C264" t="str">
        <x:v>k) 50 a 54 años</x:v>
      </x:c>
      <x:c r="D264" s="1" t="n">
        <x:v>4355</x:v>
      </x:c>
    </x:row>
    <x:row r="265">
      <x:c r="A265" t="str">
        <x:v>MILPA ALTA</x:v>
      </x:c>
      <x:c r="B265" t="str">
        <x:v>Hombre</x:v>
      </x:c>
      <x:c r="C265" t="str">
        <x:v>l) 55 a 59 años</x:v>
      </x:c>
      <x:c r="D265" s="1" t="n">
        <x:v>3476</x:v>
      </x:c>
    </x:row>
    <x:row r="266">
      <x:c r="A266" t="str">
        <x:v>MILPA ALTA</x:v>
      </x:c>
      <x:c r="B266" t="str">
        <x:v>Hombre</x:v>
      </x:c>
      <x:c r="C266" t="str">
        <x:v>m) 60 a 64 años</x:v>
      </x:c>
      <x:c r="D266" s="1" t="n">
        <x:v>2724</x:v>
      </x:c>
    </x:row>
    <x:row r="267">
      <x:c r="A267" t="str">
        <x:v>MILPA ALTA</x:v>
      </x:c>
      <x:c r="B267" t="str">
        <x:v>Hombre</x:v>
      </x:c>
      <x:c r="C267" t="str">
        <x:v>n) 65 a 69 años</x:v>
      </x:c>
      <x:c r="D267" s="1" t="n">
        <x:v>1911</x:v>
      </x:c>
    </x:row>
    <x:row r="268">
      <x:c r="A268" t="str">
        <x:v>MILPA ALTA</x:v>
      </x:c>
      <x:c r="B268" t="str">
        <x:v>Hombre</x:v>
      </x:c>
      <x:c r="C268" t="str">
        <x:v>o) 70 a 74 años</x:v>
      </x:c>
      <x:c r="D268" s="1" t="n">
        <x:v>1263</x:v>
      </x:c>
    </x:row>
    <x:row r="269">
      <x:c r="A269" t="str">
        <x:v>MILPA ALTA</x:v>
      </x:c>
      <x:c r="B269" t="str">
        <x:v>Hombre</x:v>
      </x:c>
      <x:c r="C269" t="str">
        <x:v>p) 75 a 79 años</x:v>
      </x:c>
      <x:c r="D269" s="1" t="n">
        <x:v>867</x:v>
      </x:c>
    </x:row>
    <x:row r="270">
      <x:c r="A270" t="str">
        <x:v>MILPA ALTA</x:v>
      </x:c>
      <x:c r="B270" t="str">
        <x:v>Hombre</x:v>
      </x:c>
      <x:c r="C270" t="str">
        <x:v>q) 80 a 84 años</x:v>
      </x:c>
      <x:c r="D270" s="1" t="n">
        <x:v>518</x:v>
      </x:c>
    </x:row>
    <x:row r="271">
      <x:c r="A271" t="str">
        <x:v>MILPA ALTA</x:v>
      </x:c>
      <x:c r="B271" t="str">
        <x:v>Hombre</x:v>
      </x:c>
      <x:c r="C271" t="str">
        <x:v>r) 85 años y más</x:v>
      </x:c>
      <x:c r="D271" s="1" t="n">
        <x:v>387</x:v>
      </x:c>
    </x:row>
    <x:row r="272">
      <x:c r="A272" t="str">
        <x:v>MILPA ALTA</x:v>
      </x:c>
      <x:c r="B272" t="str">
        <x:v>Mujer</x:v>
      </x:c>
      <x:c r="C272" t="str">
        <x:v>a) 0 a 4 años</x:v>
      </x:c>
      <x:c r="D272" s="1" t="n">
        <x:v>5175</x:v>
      </x:c>
    </x:row>
    <x:row r="273">
      <x:c r="A273" t="str">
        <x:v>MILPA ALTA</x:v>
      </x:c>
      <x:c r="B273" t="str">
        <x:v>Mujer</x:v>
      </x:c>
      <x:c r="C273" t="str">
        <x:v>b) 5 a 9 años</x:v>
      </x:c>
      <x:c r="D273" s="1" t="n">
        <x:v>6297</x:v>
      </x:c>
    </x:row>
    <x:row r="274">
      <x:c r="A274" t="str">
        <x:v>MILPA ALTA</x:v>
      </x:c>
      <x:c r="B274" t="str">
        <x:v>Mujer</x:v>
      </x:c>
      <x:c r="C274" t="str">
        <x:v>c) 10 a 14 años</x:v>
      </x:c>
      <x:c r="D274" s="1" t="n">
        <x:v>6579</x:v>
      </x:c>
    </x:row>
    <x:row r="275">
      <x:c r="A275" t="str">
        <x:v>MILPA ALTA</x:v>
      </x:c>
      <x:c r="B275" t="str">
        <x:v>Mujer</x:v>
      </x:c>
      <x:c r="C275" t="str">
        <x:v>d) 15 a 19 años</x:v>
      </x:c>
      <x:c r="D275" s="1" t="n">
        <x:v>6468</x:v>
      </x:c>
    </x:row>
    <x:row r="276">
      <x:c r="A276" t="str">
        <x:v>MILPA ALTA</x:v>
      </x:c>
      <x:c r="B276" t="str">
        <x:v>Mujer</x:v>
      </x:c>
      <x:c r="C276" t="str">
        <x:v>e) 20 a 24 años</x:v>
      </x:c>
      <x:c r="D276" s="1" t="n">
        <x:v>6643</x:v>
      </x:c>
    </x:row>
    <x:row r="277">
      <x:c r="A277" t="str">
        <x:v>MILPA ALTA</x:v>
      </x:c>
      <x:c r="B277" t="str">
        <x:v>Mujer</x:v>
      </x:c>
      <x:c r="C277" t="str">
        <x:v>f) 25 a 29 años</x:v>
      </x:c>
      <x:c r="D277" s="1" t="n">
        <x:v>6646</x:v>
      </x:c>
    </x:row>
    <x:row r="278">
      <x:c r="A278" t="str">
        <x:v>MILPA ALTA</x:v>
      </x:c>
      <x:c r="B278" t="str">
        <x:v>Mujer</x:v>
      </x:c>
      <x:c r="C278" t="str">
        <x:v>g) 30 a 34 años</x:v>
      </x:c>
      <x:c r="D278" s="1" t="n">
        <x:v>6113</x:v>
      </x:c>
    </x:row>
    <x:row r="279">
      <x:c r="A279" t="str">
        <x:v>MILPA ALTA</x:v>
      </x:c>
      <x:c r="B279" t="str">
        <x:v>Mujer</x:v>
      </x:c>
      <x:c r="C279" t="str">
        <x:v>h) 35 a 39 años</x:v>
      </x:c>
      <x:c r="D279" s="1" t="n">
        <x:v>5819</x:v>
      </x:c>
    </x:row>
    <x:row r="280">
      <x:c r="A280" t="str">
        <x:v>MILPA ALTA</x:v>
      </x:c>
      <x:c r="B280" t="str">
        <x:v>Mujer</x:v>
      </x:c>
      <x:c r="C280" t="str">
        <x:v>i) 40 a 44 años</x:v>
      </x:c>
      <x:c r="D280" s="1" t="n">
        <x:v>5607</x:v>
      </x:c>
    </x:row>
    <x:row r="281">
      <x:c r="A281" t="str">
        <x:v>MILPA ALTA</x:v>
      </x:c>
      <x:c r="B281" t="str">
        <x:v>Mujer</x:v>
      </x:c>
      <x:c r="C281" t="str">
        <x:v>j) 45 a 49 años</x:v>
      </x:c>
      <x:c r="D281" s="1" t="n">
        <x:v>5377</x:v>
      </x:c>
    </x:row>
    <x:row r="282">
      <x:c r="A282" t="str">
        <x:v>MILPA ALTA</x:v>
      </x:c>
      <x:c r="B282" t="str">
        <x:v>Mujer</x:v>
      </x:c>
      <x:c r="C282" t="str">
        <x:v>k) 50 a 54 años</x:v>
      </x:c>
      <x:c r="D282" s="1" t="n">
        <x:v>5073</x:v>
      </x:c>
    </x:row>
    <x:row r="283">
      <x:c r="A283" t="str">
        <x:v>MILPA ALTA</x:v>
      </x:c>
      <x:c r="B283" t="str">
        <x:v>Mujer</x:v>
      </x:c>
      <x:c r="C283" t="str">
        <x:v>l) 55 a 59 años</x:v>
      </x:c>
      <x:c r="D283" s="1" t="n">
        <x:v>3743</x:v>
      </x:c>
    </x:row>
    <x:row r="284">
      <x:c r="A284" t="str">
        <x:v>MILPA ALTA</x:v>
      </x:c>
      <x:c r="B284" t="str">
        <x:v>Mujer</x:v>
      </x:c>
      <x:c r="C284" t="str">
        <x:v>m) 60 a 64 años</x:v>
      </x:c>
      <x:c r="D284" s="1" t="n">
        <x:v>2972</x:v>
      </x:c>
    </x:row>
    <x:row r="285">
      <x:c r="A285" t="str">
        <x:v>MILPA ALTA</x:v>
      </x:c>
      <x:c r="B285" t="str">
        <x:v>Mujer</x:v>
      </x:c>
      <x:c r="C285" t="str">
        <x:v>n) 65 a 69 años</x:v>
      </x:c>
      <x:c r="D285" s="1" t="n">
        <x:v>2101</x:v>
      </x:c>
    </x:row>
    <x:row r="286">
      <x:c r="A286" t="str">
        <x:v>MILPA ALTA</x:v>
      </x:c>
      <x:c r="B286" t="str">
        <x:v>Mujer</x:v>
      </x:c>
      <x:c r="C286" t="str">
        <x:v>o) 70 a 74 años</x:v>
      </x:c>
      <x:c r="D286" s="1" t="n">
        <x:v>1498</x:v>
      </x:c>
    </x:row>
    <x:row r="287">
      <x:c r="A287" t="str">
        <x:v>MILPA ALTA</x:v>
      </x:c>
      <x:c r="B287" t="str">
        <x:v>Mujer</x:v>
      </x:c>
      <x:c r="C287" t="str">
        <x:v>p) 75 a 79 años</x:v>
      </x:c>
      <x:c r="D287" s="1" t="n">
        <x:v>963</x:v>
      </x:c>
    </x:row>
    <x:row r="288">
      <x:c r="A288" t="str">
        <x:v>MILPA ALTA</x:v>
      </x:c>
      <x:c r="B288" t="str">
        <x:v>Mujer</x:v>
      </x:c>
      <x:c r="C288" t="str">
        <x:v>q) 80 a 84 años</x:v>
      </x:c>
      <x:c r="D288" s="1" t="n">
        <x:v>628</x:v>
      </x:c>
    </x:row>
    <x:row r="289">
      <x:c r="A289" t="str">
        <x:v>MILPA ALTA</x:v>
      </x:c>
      <x:c r="B289" t="str">
        <x:v>Mujer</x:v>
      </x:c>
      <x:c r="C289" t="str">
        <x:v>r) 85 años y más</x:v>
      </x:c>
      <x:c r="D289" s="1" t="n">
        <x:v>605</x:v>
      </x:c>
    </x:row>
    <x:row r="290">
      <x:c r="A290" t="str">
        <x:v>ALVARO OBREGON</x:v>
      </x:c>
      <x:c r="B290" t="str">
        <x:v>Hombre</x:v>
      </x:c>
      <x:c r="C290" t="str">
        <x:v>a) 0 a 4 años</x:v>
      </x:c>
      <x:c r="D290" s="1" t="n">
        <x:v>19409</x:v>
      </x:c>
    </x:row>
    <x:row r="291">
      <x:c r="A291" t="str">
        <x:v>ALVARO OBREGON</x:v>
      </x:c>
      <x:c r="B291" t="str">
        <x:v>Hombre</x:v>
      </x:c>
      <x:c r="C291" t="str">
        <x:v>b) 5 a 9 años</x:v>
      </x:c>
      <x:c r="D291" s="1" t="n">
        <x:v>23613</x:v>
      </x:c>
    </x:row>
    <x:row r="292">
      <x:c r="A292" t="str">
        <x:v>ALVARO OBREGON</x:v>
      </x:c>
      <x:c r="B292" t="str">
        <x:v>Hombre</x:v>
      </x:c>
      <x:c r="C292" t="str">
        <x:v>c) 10 a 14 años</x:v>
      </x:c>
      <x:c r="D292" s="1" t="n">
        <x:v>25731</x:v>
      </x:c>
    </x:row>
    <x:row r="293">
      <x:c r="A293" t="str">
        <x:v>ALVARO OBREGON</x:v>
      </x:c>
      <x:c r="B293" t="str">
        <x:v>Hombre</x:v>
      </x:c>
      <x:c r="C293" t="str">
        <x:v>d) 15 a 19 años</x:v>
      </x:c>
      <x:c r="D293" s="1" t="n">
        <x:v>27601</x:v>
      </x:c>
    </x:row>
    <x:row r="294">
      <x:c r="A294" t="str">
        <x:v>ALVARO OBREGON</x:v>
      </x:c>
      <x:c r="B294" t="str">
        <x:v>Hombre</x:v>
      </x:c>
      <x:c r="C294" t="str">
        <x:v>e) 20 a 24 años</x:v>
      </x:c>
      <x:c r="D294" s="1" t="n">
        <x:v>29868</x:v>
      </x:c>
    </x:row>
    <x:row r="295">
      <x:c r="A295" t="str">
        <x:v>ALVARO OBREGON</x:v>
      </x:c>
      <x:c r="B295" t="str">
        <x:v>Hombre</x:v>
      </x:c>
      <x:c r="C295" t="str">
        <x:v>f) 25 a 29 años</x:v>
      </x:c>
      <x:c r="D295" s="1" t="n">
        <x:v>29549</x:v>
      </x:c>
    </x:row>
    <x:row r="296">
      <x:c r="A296" t="str">
        <x:v>ALVARO OBREGON</x:v>
      </x:c>
      <x:c r="B296" t="str">
        <x:v>Hombre</x:v>
      </x:c>
      <x:c r="C296" t="str">
        <x:v>g) 30 a 34 años</x:v>
      </x:c>
      <x:c r="D296" s="1" t="n">
        <x:v>28598</x:v>
      </x:c>
    </x:row>
    <x:row r="297">
      <x:c r="A297" t="str">
        <x:v>ALVARO OBREGON</x:v>
      </x:c>
      <x:c r="B297" t="str">
        <x:v>Hombre</x:v>
      </x:c>
      <x:c r="C297" t="str">
        <x:v>h) 35 a 39 años</x:v>
      </x:c>
      <x:c r="D297" s="1" t="n">
        <x:v>27331</x:v>
      </x:c>
    </x:row>
    <x:row r="298">
      <x:c r="A298" t="str">
        <x:v>ALVARO OBREGON</x:v>
      </x:c>
      <x:c r="B298" t="str">
        <x:v>Hombre</x:v>
      </x:c>
      <x:c r="C298" t="str">
        <x:v>i) 40 a 44 años</x:v>
      </x:c>
      <x:c r="D298" s="1" t="n">
        <x:v>25942</x:v>
      </x:c>
    </x:row>
    <x:row r="299">
      <x:c r="A299" t="str">
        <x:v>ALVARO OBREGON</x:v>
      </x:c>
      <x:c r="B299" t="str">
        <x:v>Hombre</x:v>
      </x:c>
      <x:c r="C299" t="str">
        <x:v>j) 45 a 49 años</x:v>
      </x:c>
      <x:c r="D299" s="1" t="n">
        <x:v>26046</x:v>
      </x:c>
    </x:row>
    <x:row r="300">
      <x:c r="A300" t="str">
        <x:v>ALVARO OBREGON</x:v>
      </x:c>
      <x:c r="B300" t="str">
        <x:v>Hombre</x:v>
      </x:c>
      <x:c r="C300" t="str">
        <x:v>k) 50 a 54 años</x:v>
      </x:c>
      <x:c r="D300" s="1" t="n">
        <x:v>24129</x:v>
      </x:c>
    </x:row>
    <x:row r="301">
      <x:c r="A301" t="str">
        <x:v>ALVARO OBREGON</x:v>
      </x:c>
      <x:c r="B301" t="str">
        <x:v>Hombre</x:v>
      </x:c>
      <x:c r="C301" t="str">
        <x:v>l) 55 a 59 años</x:v>
      </x:c>
      <x:c r="D301" s="1" t="n">
        <x:v>20062</x:v>
      </x:c>
    </x:row>
    <x:row r="302">
      <x:c r="A302" t="str">
        <x:v>ALVARO OBREGON</x:v>
      </x:c>
      <x:c r="B302" t="str">
        <x:v>Hombre</x:v>
      </x:c>
      <x:c r="C302" t="str">
        <x:v>m) 60 a 64 años</x:v>
      </x:c>
      <x:c r="D302" s="1" t="n">
        <x:v>17223</x:v>
      </x:c>
    </x:row>
    <x:row r="303">
      <x:c r="A303" t="str">
        <x:v>ALVARO OBREGON</x:v>
      </x:c>
      <x:c r="B303" t="str">
        <x:v>Hombre</x:v>
      </x:c>
      <x:c r="C303" t="str">
        <x:v>n) 65 a 69 años</x:v>
      </x:c>
      <x:c r="D303" s="1" t="n">
        <x:v>13187</x:v>
      </x:c>
    </x:row>
    <x:row r="304">
      <x:c r="A304" t="str">
        <x:v>ALVARO OBREGON</x:v>
      </x:c>
      <x:c r="B304" t="str">
        <x:v>Hombre</x:v>
      </x:c>
      <x:c r="C304" t="str">
        <x:v>o) 70 a 74 años</x:v>
      </x:c>
      <x:c r="D304" s="1" t="n">
        <x:v>9514</x:v>
      </x:c>
    </x:row>
    <x:row r="305">
      <x:c r="A305" t="str">
        <x:v>ALVARO OBREGON</x:v>
      </x:c>
      <x:c r="B305" t="str">
        <x:v>Hombre</x:v>
      </x:c>
      <x:c r="C305" t="str">
        <x:v>p) 75 a 79 años</x:v>
      </x:c>
      <x:c r="D305" s="1" t="n">
        <x:v>5966</x:v>
      </x:c>
    </x:row>
    <x:row r="306">
      <x:c r="A306" t="str">
        <x:v>ALVARO OBREGON</x:v>
      </x:c>
      <x:c r="B306" t="str">
        <x:v>Hombre</x:v>
      </x:c>
      <x:c r="C306" t="str">
        <x:v>q) 80 a 84 años</x:v>
      </x:c>
      <x:c r="D306" s="1" t="n">
        <x:v>3808</x:v>
      </x:c>
    </x:row>
    <x:row r="307">
      <x:c r="A307" t="str">
        <x:v>ALVARO OBREGON</x:v>
      </x:c>
      <x:c r="B307" t="str">
        <x:v>Hombre</x:v>
      </x:c>
      <x:c r="C307" t="str">
        <x:v>r) 85 años y más</x:v>
      </x:c>
      <x:c r="D307" s="1" t="n">
        <x:v>3019</x:v>
      </x:c>
    </x:row>
    <x:row r="308">
      <x:c r="A308" t="str">
        <x:v>ALVARO OBREGON</x:v>
      </x:c>
      <x:c r="B308" t="str">
        <x:v>Mujer</x:v>
      </x:c>
      <x:c r="C308" t="str">
        <x:v>a) 0 a 4 años</x:v>
      </x:c>
      <x:c r="D308" s="1" t="n">
        <x:v>19075</x:v>
      </x:c>
    </x:row>
    <x:row r="309">
      <x:c r="A309" t="str">
        <x:v>ALVARO OBREGON</x:v>
      </x:c>
      <x:c r="B309" t="str">
        <x:v>Mujer</x:v>
      </x:c>
      <x:c r="C309" t="str">
        <x:v>b) 5 a 9 años</x:v>
      </x:c>
      <x:c r="D309" s="1" t="n">
        <x:v>23087</x:v>
      </x:c>
    </x:row>
    <x:row r="310">
      <x:c r="A310" t="str">
        <x:v>ALVARO OBREGON</x:v>
      </x:c>
      <x:c r="B310" t="str">
        <x:v>Mujer</x:v>
      </x:c>
      <x:c r="C310" t="str">
        <x:v>c) 10 a 14 años</x:v>
      </x:c>
      <x:c r="D310" s="1" t="n">
        <x:v>25137</x:v>
      </x:c>
    </x:row>
    <x:row r="311">
      <x:c r="A311" t="str">
        <x:v>ALVARO OBREGON</x:v>
      </x:c>
      <x:c r="B311" t="str">
        <x:v>Mujer</x:v>
      </x:c>
      <x:c r="C311" t="str">
        <x:v>d) 15 a 19 años</x:v>
      </x:c>
      <x:c r="D311" s="1" t="n">
        <x:v>27247</x:v>
      </x:c>
    </x:row>
    <x:row r="312">
      <x:c r="A312" t="str">
        <x:v>ALVARO OBREGON</x:v>
      </x:c>
      <x:c r="B312" t="str">
        <x:v>Mujer</x:v>
      </x:c>
      <x:c r="C312" t="str">
        <x:v>e) 20 a 24 años</x:v>
      </x:c>
      <x:c r="D312" s="1" t="n">
        <x:v>30073</x:v>
      </x:c>
    </x:row>
    <x:row r="313">
      <x:c r="A313" t="str">
        <x:v>ALVARO OBREGON</x:v>
      </x:c>
      <x:c r="B313" t="str">
        <x:v>Mujer</x:v>
      </x:c>
      <x:c r="C313" t="str">
        <x:v>f) 25 a 29 años</x:v>
      </x:c>
      <x:c r="D313" s="1" t="n">
        <x:v>31159</x:v>
      </x:c>
    </x:row>
    <x:row r="314">
      <x:c r="A314" t="str">
        <x:v>ALVARO OBREGON</x:v>
      </x:c>
      <x:c r="B314" t="str">
        <x:v>Mujer</x:v>
      </x:c>
      <x:c r="C314" t="str">
        <x:v>g) 30 a 34 años</x:v>
      </x:c>
      <x:c r="D314" s="1" t="n">
        <x:v>30888</x:v>
      </x:c>
    </x:row>
    <x:row r="315">
      <x:c r="A315" t="str">
        <x:v>ALVARO OBREGON</x:v>
      </x:c>
      <x:c r="B315" t="str">
        <x:v>Mujer</x:v>
      </x:c>
      <x:c r="C315" t="str">
        <x:v>h) 35 a 39 años</x:v>
      </x:c>
      <x:c r="D315" s="1" t="n">
        <x:v>29841</x:v>
      </x:c>
    </x:row>
    <x:row r="316">
      <x:c r="A316" t="str">
        <x:v>ALVARO OBREGON</x:v>
      </x:c>
      <x:c r="B316" t="str">
        <x:v>Mujer</x:v>
      </x:c>
      <x:c r="C316" t="str">
        <x:v>i) 40 a 44 años</x:v>
      </x:c>
      <x:c r="D316" s="1" t="n">
        <x:v>29202</x:v>
      </x:c>
    </x:row>
    <x:row r="317">
      <x:c r="A317" t="str">
        <x:v>ALVARO OBREGON</x:v>
      </x:c>
      <x:c r="B317" t="str">
        <x:v>Mujer</x:v>
      </x:c>
      <x:c r="C317" t="str">
        <x:v>j) 45 a 49 años</x:v>
      </x:c>
      <x:c r="D317" s="1" t="n">
        <x:v>29927</x:v>
      </x:c>
    </x:row>
    <x:row r="318">
      <x:c r="A318" t="str">
        <x:v>ALVARO OBREGON</x:v>
      </x:c>
      <x:c r="B318" t="str">
        <x:v>Mujer</x:v>
      </x:c>
      <x:c r="C318" t="str">
        <x:v>k) 50 a 54 años</x:v>
      </x:c>
      <x:c r="D318" s="1" t="n">
        <x:v>28592</x:v>
      </x:c>
    </x:row>
    <x:row r="319">
      <x:c r="A319" t="str">
        <x:v>ALVARO OBREGON</x:v>
      </x:c>
      <x:c r="B319" t="str">
        <x:v>Mujer</x:v>
      </x:c>
      <x:c r="C319" t="str">
        <x:v>l) 55 a 59 años</x:v>
      </x:c>
      <x:c r="D319" s="1" t="n">
        <x:v>23888</x:v>
      </x:c>
    </x:row>
    <x:row r="320">
      <x:c r="A320" t="str">
        <x:v>ALVARO OBREGON</x:v>
      </x:c>
      <x:c r="B320" t="str">
        <x:v>Mujer</x:v>
      </x:c>
      <x:c r="C320" t="str">
        <x:v>m) 60 a 64 años</x:v>
      </x:c>
      <x:c r="D320" s="1" t="n">
        <x:v>21283</x:v>
      </x:c>
    </x:row>
    <x:row r="321">
      <x:c r="A321" t="str">
        <x:v>ALVARO OBREGON</x:v>
      </x:c>
      <x:c r="B321" t="str">
        <x:v>Mujer</x:v>
      </x:c>
      <x:c r="C321" t="str">
        <x:v>n) 65 a 69 años</x:v>
      </x:c>
      <x:c r="D321" s="1" t="n">
        <x:v>16316</x:v>
      </x:c>
    </x:row>
    <x:row r="322">
      <x:c r="A322" t="str">
        <x:v>ALVARO OBREGON</x:v>
      </x:c>
      <x:c r="B322" t="str">
        <x:v>Mujer</x:v>
      </x:c>
      <x:c r="C322" t="str">
        <x:v>o) 70 a 74 años</x:v>
      </x:c>
      <x:c r="D322" s="1" t="n">
        <x:v>12283</x:v>
      </x:c>
    </x:row>
    <x:row r="323">
      <x:c r="A323" t="str">
        <x:v>ALVARO OBREGON</x:v>
      </x:c>
      <x:c r="B323" t="str">
        <x:v>Mujer</x:v>
      </x:c>
      <x:c r="C323" t="str">
        <x:v>p) 75 a 79 años</x:v>
      </x:c>
      <x:c r="D323" s="1" t="n">
        <x:v>8216</x:v>
      </x:c>
    </x:row>
    <x:row r="324">
      <x:c r="A324" t="str">
        <x:v>ALVARO OBREGON</x:v>
      </x:c>
      <x:c r="B324" t="str">
        <x:v>Mujer</x:v>
      </x:c>
      <x:c r="C324" t="str">
        <x:v>q) 80 a 84 años</x:v>
      </x:c>
      <x:c r="D324" s="1" t="n">
        <x:v>5849</x:v>
      </x:c>
    </x:row>
    <x:row r="325">
      <x:c r="A325" t="str">
        <x:v>ALVARO OBREGON</x:v>
      </x:c>
      <x:c r="B325" t="str">
        <x:v>Mujer</x:v>
      </x:c>
      <x:c r="C325" t="str">
        <x:v>r) 85 años y más</x:v>
      </x:c>
      <x:c r="D325" s="1" t="n">
        <x:v>5655</x:v>
      </x:c>
    </x:row>
    <x:row r="326">
      <x:c r="A326" t="str">
        <x:v>TLAHUAC</x:v>
      </x:c>
      <x:c r="B326" t="str">
        <x:v>Hombre</x:v>
      </x:c>
      <x:c r="C326" t="str">
        <x:v>a) 0 a 4 años</x:v>
      </x:c>
      <x:c r="D326" s="1" t="n">
        <x:v>12010</x:v>
      </x:c>
    </x:row>
    <x:row r="327">
      <x:c r="A327" t="str">
        <x:v>TLAHUAC</x:v>
      </x:c>
      <x:c r="B327" t="str">
        <x:v>Hombre</x:v>
      </x:c>
      <x:c r="C327" t="str">
        <x:v>b) 5 a 9 años</x:v>
      </x:c>
      <x:c r="D327" s="1" t="n">
        <x:v>14845</x:v>
      </x:c>
    </x:row>
    <x:row r="328">
      <x:c r="A328" t="str">
        <x:v>TLAHUAC</x:v>
      </x:c>
      <x:c r="B328" t="str">
        <x:v>Hombre</x:v>
      </x:c>
      <x:c r="C328" t="str">
        <x:v>c) 10 a 14 años</x:v>
      </x:c>
      <x:c r="D328" s="1" t="n">
        <x:v>15892</x:v>
      </x:c>
    </x:row>
    <x:row r="329">
      <x:c r="A329" t="str">
        <x:v>TLAHUAC</x:v>
      </x:c>
      <x:c r="B329" t="str">
        <x:v>Hombre</x:v>
      </x:c>
      <x:c r="C329" t="str">
        <x:v>d) 15 a 19 años</x:v>
      </x:c>
      <x:c r="D329" s="1" t="n">
        <x:v>16651</x:v>
      </x:c>
    </x:row>
    <x:row r="330">
      <x:c r="A330" t="str">
        <x:v>TLAHUAC</x:v>
      </x:c>
      <x:c r="B330" t="str">
        <x:v>Hombre</x:v>
      </x:c>
      <x:c r="C330" t="str">
        <x:v>e) 20 a 24 años</x:v>
      </x:c>
      <x:c r="D330" s="1" t="n">
        <x:v>16963</x:v>
      </x:c>
    </x:row>
    <x:row r="331">
      <x:c r="A331" t="str">
        <x:v>TLAHUAC</x:v>
      </x:c>
      <x:c r="B331" t="str">
        <x:v>Hombre</x:v>
      </x:c>
      <x:c r="C331" t="str">
        <x:v>f) 25 a 29 años</x:v>
      </x:c>
      <x:c r="D331" s="1" t="n">
        <x:v>16493</x:v>
      </x:c>
    </x:row>
    <x:row r="332">
      <x:c r="A332" t="str">
        <x:v>TLAHUAC</x:v>
      </x:c>
      <x:c r="B332" t="str">
        <x:v>Hombre</x:v>
      </x:c>
      <x:c r="C332" t="str">
        <x:v>g) 30 a 34 años</x:v>
      </x:c>
      <x:c r="D332" s="1" t="n">
        <x:v>14712</x:v>
      </x:c>
    </x:row>
    <x:row r="333">
      <x:c r="A333" t="str">
        <x:v>TLAHUAC</x:v>
      </x:c>
      <x:c r="B333" t="str">
        <x:v>Hombre</x:v>
      </x:c>
      <x:c r="C333" t="str">
        <x:v>h) 35 a 39 años</x:v>
      </x:c>
      <x:c r="D333" s="1" t="n">
        <x:v>13710</x:v>
      </x:c>
    </x:row>
    <x:row r="334">
      <x:c r="A334" t="str">
        <x:v>TLAHUAC</x:v>
      </x:c>
      <x:c r="B334" t="str">
        <x:v>Hombre</x:v>
      </x:c>
      <x:c r="C334" t="str">
        <x:v>i) 40 a 44 años</x:v>
      </x:c>
      <x:c r="D334" s="1" t="n">
        <x:v>13091</x:v>
      </x:c>
    </x:row>
    <x:row r="335">
      <x:c r="A335" t="str">
        <x:v>TLAHUAC</x:v>
      </x:c>
      <x:c r="B335" t="str">
        <x:v>Hombre</x:v>
      </x:c>
      <x:c r="C335" t="str">
        <x:v>j) 45 a 49 años</x:v>
      </x:c>
      <x:c r="D335" s="1" t="n">
        <x:v>13097</x:v>
      </x:c>
    </x:row>
    <x:row r="336">
      <x:c r="A336" t="str">
        <x:v>TLAHUAC</x:v>
      </x:c>
      <x:c r="B336" t="str">
        <x:v>Hombre</x:v>
      </x:c>
      <x:c r="C336" t="str">
        <x:v>k) 50 a 54 años</x:v>
      </x:c>
      <x:c r="D336" s="1" t="n">
        <x:v>12163</x:v>
      </x:c>
    </x:row>
    <x:row r="337">
      <x:c r="A337" t="str">
        <x:v>TLAHUAC</x:v>
      </x:c>
      <x:c r="B337" t="str">
        <x:v>Hombre</x:v>
      </x:c>
      <x:c r="C337" t="str">
        <x:v>l) 55 a 59 años</x:v>
      </x:c>
      <x:c r="D337" s="1" t="n">
        <x:v>9630</x:v>
      </x:c>
    </x:row>
    <x:row r="338">
      <x:c r="A338" t="str">
        <x:v>TLAHUAC</x:v>
      </x:c>
      <x:c r="B338" t="str">
        <x:v>Hombre</x:v>
      </x:c>
      <x:c r="C338" t="str">
        <x:v>m) 60 a 64 años</x:v>
      </x:c>
      <x:c r="D338" s="1" t="n">
        <x:v>7665</x:v>
      </x:c>
    </x:row>
    <x:row r="339">
      <x:c r="A339" t="str">
        <x:v>TLAHUAC</x:v>
      </x:c>
      <x:c r="B339" t="str">
        <x:v>Hombre</x:v>
      </x:c>
      <x:c r="C339" t="str">
        <x:v>n) 65 a 69 años</x:v>
      </x:c>
      <x:c r="D339" s="1" t="n">
        <x:v>5390</x:v>
      </x:c>
    </x:row>
    <x:row r="340">
      <x:c r="A340" t="str">
        <x:v>TLAHUAC</x:v>
      </x:c>
      <x:c r="B340" t="str">
        <x:v>Hombre</x:v>
      </x:c>
      <x:c r="C340" t="str">
        <x:v>o) 70 a 74 años</x:v>
      </x:c>
      <x:c r="D340" s="1" t="n">
        <x:v>3580</x:v>
      </x:c>
    </x:row>
    <x:row r="341">
      <x:c r="A341" t="str">
        <x:v>TLAHUAC</x:v>
      </x:c>
      <x:c r="B341" t="str">
        <x:v>Hombre</x:v>
      </x:c>
      <x:c r="C341" t="str">
        <x:v>p) 75 a 79 años</x:v>
      </x:c>
      <x:c r="D341" s="1" t="n">
        <x:v>2044</x:v>
      </x:c>
    </x:row>
    <x:row r="342">
      <x:c r="A342" t="str">
        <x:v>TLAHUAC</x:v>
      </x:c>
      <x:c r="B342" t="str">
        <x:v>Hombre</x:v>
      </x:c>
      <x:c r="C342" t="str">
        <x:v>q) 80 a 84 años</x:v>
      </x:c>
      <x:c r="D342" s="1" t="n">
        <x:v>1251</x:v>
      </x:c>
    </x:row>
    <x:row r="343">
      <x:c r="A343" t="str">
        <x:v>TLAHUAC</x:v>
      </x:c>
      <x:c r="B343" t="str">
        <x:v>Hombre</x:v>
      </x:c>
      <x:c r="C343" t="str">
        <x:v>r) 85 años y más</x:v>
      </x:c>
      <x:c r="D343" s="1" t="n">
        <x:v>931</x:v>
      </x:c>
    </x:row>
    <x:row r="344">
      <x:c r="A344" t="str">
        <x:v>TLAHUAC</x:v>
      </x:c>
      <x:c r="B344" t="str">
        <x:v>Mujer</x:v>
      </x:c>
      <x:c r="C344" t="str">
        <x:v>a) 0 a 4 años</x:v>
      </x:c>
      <x:c r="D344" s="1" t="n">
        <x:v>11705</x:v>
      </x:c>
    </x:row>
    <x:row r="345">
      <x:c r="A345" t="str">
        <x:v>TLAHUAC</x:v>
      </x:c>
      <x:c r="B345" t="str">
        <x:v>Mujer</x:v>
      </x:c>
      <x:c r="C345" t="str">
        <x:v>b) 5 a 9 años</x:v>
      </x:c>
      <x:c r="D345" s="1" t="n">
        <x:v>14252</x:v>
      </x:c>
    </x:row>
    <x:row r="346">
      <x:c r="A346" t="str">
        <x:v>TLAHUAC</x:v>
      </x:c>
      <x:c r="B346" t="str">
        <x:v>Mujer</x:v>
      </x:c>
      <x:c r="C346" t="str">
        <x:v>c) 10 a 14 años</x:v>
      </x:c>
      <x:c r="D346" s="1" t="n">
        <x:v>15347</x:v>
      </x:c>
    </x:row>
    <x:row r="347">
      <x:c r="A347" t="str">
        <x:v>TLAHUAC</x:v>
      </x:c>
      <x:c r="B347" t="str">
        <x:v>Mujer</x:v>
      </x:c>
      <x:c r="C347" t="str">
        <x:v>d) 15 a 19 años</x:v>
      </x:c>
      <x:c r="D347" s="1" t="n">
        <x:v>15738</x:v>
      </x:c>
    </x:row>
    <x:row r="348">
      <x:c r="A348" t="str">
        <x:v>TLAHUAC</x:v>
      </x:c>
      <x:c r="B348" t="str">
        <x:v>Mujer</x:v>
      </x:c>
      <x:c r="C348" t="str">
        <x:v>e) 20 a 24 años</x:v>
      </x:c>
      <x:c r="D348" s="1" t="n">
        <x:v>16610</x:v>
      </x:c>
    </x:row>
    <x:row r="349">
      <x:c r="A349" t="str">
        <x:v>TLAHUAC</x:v>
      </x:c>
      <x:c r="B349" t="str">
        <x:v>Mujer</x:v>
      </x:c>
      <x:c r="C349" t="str">
        <x:v>f) 25 a 29 años</x:v>
      </x:c>
      <x:c r="D349" s="1" t="n">
        <x:v>16937</x:v>
      </x:c>
    </x:row>
    <x:row r="350">
      <x:c r="A350" t="str">
        <x:v>TLAHUAC</x:v>
      </x:c>
      <x:c r="B350" t="str">
        <x:v>Mujer</x:v>
      </x:c>
      <x:c r="C350" t="str">
        <x:v>g) 30 a 34 años</x:v>
      </x:c>
      <x:c r="D350" s="1" t="n">
        <x:v>15855</x:v>
      </x:c>
    </x:row>
    <x:row r="351">
      <x:c r="A351" t="str">
        <x:v>TLAHUAC</x:v>
      </x:c>
      <x:c r="B351" t="str">
        <x:v>Mujer</x:v>
      </x:c>
      <x:c r="C351" t="str">
        <x:v>h) 35 a 39 años</x:v>
      </x:c>
      <x:c r="D351" s="1" t="n">
        <x:v>15095</x:v>
      </x:c>
    </x:row>
    <x:row r="352">
      <x:c r="A352" t="str">
        <x:v>TLAHUAC</x:v>
      </x:c>
      <x:c r="B352" t="str">
        <x:v>Mujer</x:v>
      </x:c>
      <x:c r="C352" t="str">
        <x:v>i) 40 a 44 años</x:v>
      </x:c>
      <x:c r="D352" s="1" t="n">
        <x:v>14731</x:v>
      </x:c>
    </x:row>
    <x:row r="353">
      <x:c r="A353" t="str">
        <x:v>TLAHUAC</x:v>
      </x:c>
      <x:c r="B353" t="str">
        <x:v>Mujer</x:v>
      </x:c>
      <x:c r="C353" t="str">
        <x:v>j) 45 a 49 años</x:v>
      </x:c>
      <x:c r="D353" s="1" t="n">
        <x:v>15203</x:v>
      </x:c>
    </x:row>
    <x:row r="354">
      <x:c r="A354" t="str">
        <x:v>TLAHUAC</x:v>
      </x:c>
      <x:c r="B354" t="str">
        <x:v>Mujer</x:v>
      </x:c>
      <x:c r="C354" t="str">
        <x:v>k) 50 a 54 años</x:v>
      </x:c>
      <x:c r="D354" s="1" t="n">
        <x:v>14075</x:v>
      </x:c>
    </x:row>
    <x:row r="355">
      <x:c r="A355" t="str">
        <x:v>TLAHUAC</x:v>
      </x:c>
      <x:c r="B355" t="str">
        <x:v>Mujer</x:v>
      </x:c>
      <x:c r="C355" t="str">
        <x:v>l) 55 a 59 años</x:v>
      </x:c>
      <x:c r="D355" s="1" t="n">
        <x:v>11167</x:v>
      </x:c>
    </x:row>
    <x:row r="356">
      <x:c r="A356" t="str">
        <x:v>TLAHUAC</x:v>
      </x:c>
      <x:c r="B356" t="str">
        <x:v>Mujer</x:v>
      </x:c>
      <x:c r="C356" t="str">
        <x:v>m) 60 a 64 años</x:v>
      </x:c>
      <x:c r="D356" s="1" t="n">
        <x:v>8928</x:v>
      </x:c>
    </x:row>
    <x:row r="357">
      <x:c r="A357" t="str">
        <x:v>TLAHUAC</x:v>
      </x:c>
      <x:c r="B357" t="str">
        <x:v>Mujer</x:v>
      </x:c>
      <x:c r="C357" t="str">
        <x:v>n) 65 a 69 años</x:v>
      </x:c>
      <x:c r="D357" s="1" t="n">
        <x:v>6121</x:v>
      </x:c>
    </x:row>
    <x:row r="358">
      <x:c r="A358" t="str">
        <x:v>TLAHUAC</x:v>
      </x:c>
      <x:c r="B358" t="str">
        <x:v>Mujer</x:v>
      </x:c>
      <x:c r="C358" t="str">
        <x:v>o) 70 a 74 años</x:v>
      </x:c>
      <x:c r="D358" s="1" t="n">
        <x:v>4344</x:v>
      </x:c>
    </x:row>
    <x:row r="359">
      <x:c r="A359" t="str">
        <x:v>TLAHUAC</x:v>
      </x:c>
      <x:c r="B359" t="str">
        <x:v>Mujer</x:v>
      </x:c>
      <x:c r="C359" t="str">
        <x:v>p) 75 a 79 años</x:v>
      </x:c>
      <x:c r="D359" s="1" t="n">
        <x:v>2583</x:v>
      </x:c>
    </x:row>
    <x:row r="360">
      <x:c r="A360" t="str">
        <x:v>TLAHUAC</x:v>
      </x:c>
      <x:c r="B360" t="str">
        <x:v>Mujer</x:v>
      </x:c>
      <x:c r="C360" t="str">
        <x:v>q) 80 a 84 años</x:v>
      </x:c>
      <x:c r="D360" s="1" t="n">
        <x:v>1766</x:v>
      </x:c>
    </x:row>
    <x:row r="361">
      <x:c r="A361" t="str">
        <x:v>TLAHUAC</x:v>
      </x:c>
      <x:c r="B361" t="str">
        <x:v>Mujer</x:v>
      </x:c>
      <x:c r="C361" t="str">
        <x:v>r) 85 años y más</x:v>
      </x:c>
      <x:c r="D361" s="1" t="n">
        <x:v>1593</x:v>
      </x:c>
    </x:row>
    <x:row r="362">
      <x:c r="A362" t="str">
        <x:v>TLALPAN</x:v>
      </x:c>
      <x:c r="B362" t="str">
        <x:v>Hombre</x:v>
      </x:c>
      <x:c r="C362" t="str">
        <x:v>a) 0 a 4 años</x:v>
      </x:c>
      <x:c r="D362" s="1" t="n">
        <x:v>17643</x:v>
      </x:c>
    </x:row>
    <x:row r="363">
      <x:c r="A363" t="str">
        <x:v>TLALPAN</x:v>
      </x:c>
      <x:c r="B363" t="str">
        <x:v>Hombre</x:v>
      </x:c>
      <x:c r="C363" t="str">
        <x:v>b) 5 a 9 años</x:v>
      </x:c>
      <x:c r="D363" s="1" t="n">
        <x:v>22938</x:v>
      </x:c>
    </x:row>
    <x:row r="364">
      <x:c r="A364" t="str">
        <x:v>TLALPAN</x:v>
      </x:c>
      <x:c r="B364" t="str">
        <x:v>Hombre</x:v>
      </x:c>
      <x:c r="C364" t="str">
        <x:v>c) 10 a 14 años</x:v>
      </x:c>
      <x:c r="D364" s="1" t="n">
        <x:v>24951</x:v>
      </x:c>
    </x:row>
    <x:row r="365">
      <x:c r="A365" t="str">
        <x:v>TLALPAN</x:v>
      </x:c>
      <x:c r="B365" t="str">
        <x:v>Hombre</x:v>
      </x:c>
      <x:c r="C365" t="str">
        <x:v>d) 15 a 19 años</x:v>
      </x:c>
      <x:c r="D365" s="1" t="n">
        <x:v>27036</x:v>
      </x:c>
    </x:row>
    <x:row r="366">
      <x:c r="A366" t="str">
        <x:v>TLALPAN</x:v>
      </x:c>
      <x:c r="B366" t="str">
        <x:v>Hombre</x:v>
      </x:c>
      <x:c r="C366" t="str">
        <x:v>e) 20 a 24 años</x:v>
      </x:c>
      <x:c r="D366" s="1" t="n">
        <x:v>29172</x:v>
      </x:c>
    </x:row>
    <x:row r="367">
      <x:c r="A367" t="str">
        <x:v>TLALPAN</x:v>
      </x:c>
      <x:c r="B367" t="str">
        <x:v>Hombre</x:v>
      </x:c>
      <x:c r="C367" t="str">
        <x:v>f) 25 a 29 años</x:v>
      </x:c>
      <x:c r="D367" s="1" t="n">
        <x:v>27809</x:v>
      </x:c>
    </x:row>
    <x:row r="368">
      <x:c r="A368" t="str">
        <x:v>TLALPAN</x:v>
      </x:c>
      <x:c r="B368" t="str">
        <x:v>Hombre</x:v>
      </x:c>
      <x:c r="C368" t="str">
        <x:v>g) 30 a 34 años</x:v>
      </x:c>
      <x:c r="D368" s="1" t="n">
        <x:v>26296</x:v>
      </x:c>
    </x:row>
    <x:row r="369">
      <x:c r="A369" t="str">
        <x:v>TLALPAN</x:v>
      </x:c>
      <x:c r="B369" t="str">
        <x:v>Hombre</x:v>
      </x:c>
      <x:c r="C369" t="str">
        <x:v>h) 35 a 39 años</x:v>
      </x:c>
      <x:c r="D369" s="1" t="n">
        <x:v>25098</x:v>
      </x:c>
    </x:row>
    <x:row r="370">
      <x:c r="A370" t="str">
        <x:v>TLALPAN</x:v>
      </x:c>
      <x:c r="B370" t="str">
        <x:v>Hombre</x:v>
      </x:c>
      <x:c r="C370" t="str">
        <x:v>i) 40 a 44 años</x:v>
      </x:c>
      <x:c r="D370" s="1" t="n">
        <x:v>24075</x:v>
      </x:c>
    </x:row>
    <x:row r="371">
      <x:c r="A371" t="str">
        <x:v>TLALPAN</x:v>
      </x:c>
      <x:c r="B371" t="str">
        <x:v>Hombre</x:v>
      </x:c>
      <x:c r="C371" t="str">
        <x:v>j) 45 a 49 años</x:v>
      </x:c>
      <x:c r="D371" s="1" t="n">
        <x:v>23780</x:v>
      </x:c>
    </x:row>
    <x:row r="372">
      <x:c r="A372" t="str">
        <x:v>TLALPAN</x:v>
      </x:c>
      <x:c r="B372" t="str">
        <x:v>Hombre</x:v>
      </x:c>
      <x:c r="C372" t="str">
        <x:v>k) 50 a 54 años</x:v>
      </x:c>
      <x:c r="D372" s="1" t="n">
        <x:v>21103</x:v>
      </x:c>
    </x:row>
    <x:row r="373">
      <x:c r="A373" t="str">
        <x:v>TLALPAN</x:v>
      </x:c>
      <x:c r="B373" t="str">
        <x:v>Hombre</x:v>
      </x:c>
      <x:c r="C373" t="str">
        <x:v>l) 55 a 59 años</x:v>
      </x:c>
      <x:c r="D373" s="1" t="n">
        <x:v>17380</x:v>
      </x:c>
    </x:row>
    <x:row r="374">
      <x:c r="A374" t="str">
        <x:v>TLALPAN</x:v>
      </x:c>
      <x:c r="B374" t="str">
        <x:v>Hombre</x:v>
      </x:c>
      <x:c r="C374" t="str">
        <x:v>m) 60 a 64 años</x:v>
      </x:c>
      <x:c r="D374" s="1" t="n">
        <x:v>15529</x:v>
      </x:c>
    </x:row>
    <x:row r="375">
      <x:c r="A375" t="str">
        <x:v>TLALPAN</x:v>
      </x:c>
      <x:c r="B375" t="str">
        <x:v>Hombre</x:v>
      </x:c>
      <x:c r="C375" t="str">
        <x:v>n) 65 a 69 años</x:v>
      </x:c>
      <x:c r="D375" s="1" t="n">
        <x:v>12005</x:v>
      </x:c>
    </x:row>
    <x:row r="376">
      <x:c r="A376" t="str">
        <x:v>TLALPAN</x:v>
      </x:c>
      <x:c r="B376" t="str">
        <x:v>Hombre</x:v>
      </x:c>
      <x:c r="C376" t="str">
        <x:v>o) 70 a 74 años</x:v>
      </x:c>
      <x:c r="D376" s="1" t="n">
        <x:v>8630</x:v>
      </x:c>
    </x:row>
    <x:row r="377">
      <x:c r="A377" t="str">
        <x:v>TLALPAN</x:v>
      </x:c>
      <x:c r="B377" t="str">
        <x:v>Hombre</x:v>
      </x:c>
      <x:c r="C377" t="str">
        <x:v>p) 75 a 79 años</x:v>
      </x:c>
      <x:c r="D377" s="1" t="n">
        <x:v>5532</x:v>
      </x:c>
    </x:row>
    <x:row r="378">
      <x:c r="A378" t="str">
        <x:v>TLALPAN</x:v>
      </x:c>
      <x:c r="B378" t="str">
        <x:v>Hombre</x:v>
      </x:c>
      <x:c r="C378" t="str">
        <x:v>q) 80 a 84 años</x:v>
      </x:c>
      <x:c r="D378" s="1" t="n">
        <x:v>3249</x:v>
      </x:c>
    </x:row>
    <x:row r="379">
      <x:c r="A379" t="str">
        <x:v>TLALPAN</x:v>
      </x:c>
      <x:c r="B379" t="str">
        <x:v>Hombre</x:v>
      </x:c>
      <x:c r="C379" t="str">
        <x:v>r) 85 años y más</x:v>
      </x:c>
      <x:c r="D379" s="1" t="n">
        <x:v>2388</x:v>
      </x:c>
    </x:row>
    <x:row r="380">
      <x:c r="A380" t="str">
        <x:v>TLALPAN</x:v>
      </x:c>
      <x:c r="B380" t="str">
        <x:v>Mujer</x:v>
      </x:c>
      <x:c r="C380" t="str">
        <x:v>a) 0 a 4 años</x:v>
      </x:c>
      <x:c r="D380" s="1" t="n">
        <x:v>17214</x:v>
      </x:c>
    </x:row>
    <x:row r="381">
      <x:c r="A381" t="str">
        <x:v>TLALPAN</x:v>
      </x:c>
      <x:c r="B381" t="str">
        <x:v>Mujer</x:v>
      </x:c>
      <x:c r="C381" t="str">
        <x:v>b) 5 a 9 años</x:v>
      </x:c>
      <x:c r="D381" s="1" t="n">
        <x:v>22314</x:v>
      </x:c>
    </x:row>
    <x:row r="382">
      <x:c r="A382" t="str">
        <x:v>TLALPAN</x:v>
      </x:c>
      <x:c r="B382" t="str">
        <x:v>Mujer</x:v>
      </x:c>
      <x:c r="C382" t="str">
        <x:v>c) 10 a 14 años</x:v>
      </x:c>
      <x:c r="D382" s="1" t="n">
        <x:v>24092</x:v>
      </x:c>
    </x:row>
    <x:row r="383">
      <x:c r="A383" t="str">
        <x:v>TLALPAN</x:v>
      </x:c>
      <x:c r="B383" t="str">
        <x:v>Mujer</x:v>
      </x:c>
      <x:c r="C383" t="str">
        <x:v>d) 15 a 19 años</x:v>
      </x:c>
      <x:c r="D383" s="1" t="n">
        <x:v>25919</x:v>
      </x:c>
    </x:row>
    <x:row r="384">
      <x:c r="A384" t="str">
        <x:v>TLALPAN</x:v>
      </x:c>
      <x:c r="B384" t="str">
        <x:v>Mujer</x:v>
      </x:c>
      <x:c r="C384" t="str">
        <x:v>e) 20 a 24 años</x:v>
      </x:c>
      <x:c r="D384" s="1" t="n">
        <x:v>28401</x:v>
      </x:c>
    </x:row>
    <x:row r="385">
      <x:c r="A385" t="str">
        <x:v>TLALPAN</x:v>
      </x:c>
      <x:c r="B385" t="str">
        <x:v>Mujer</x:v>
      </x:c>
      <x:c r="C385" t="str">
        <x:v>f) 25 a 29 años</x:v>
      </x:c>
      <x:c r="D385" s="1" t="n">
        <x:v>28601</x:v>
      </x:c>
    </x:row>
    <x:row r="386">
      <x:c r="A386" t="str">
        <x:v>TLALPAN</x:v>
      </x:c>
      <x:c r="B386" t="str">
        <x:v>Mujer</x:v>
      </x:c>
      <x:c r="C386" t="str">
        <x:v>g) 30 a 34 años</x:v>
      </x:c>
      <x:c r="D386" s="1" t="n">
        <x:v>28154</x:v>
      </x:c>
    </x:row>
    <x:row r="387">
      <x:c r="A387" t="str">
        <x:v>TLALPAN</x:v>
      </x:c>
      <x:c r="B387" t="str">
        <x:v>Mujer</x:v>
      </x:c>
      <x:c r="C387" t="str">
        <x:v>h) 35 a 39 años</x:v>
      </x:c>
      <x:c r="D387" s="1" t="n">
        <x:v>27732</x:v>
      </x:c>
    </x:row>
    <x:row r="388">
      <x:c r="A388" t="str">
        <x:v>TLALPAN</x:v>
      </x:c>
      <x:c r="B388" t="str">
        <x:v>Mujer</x:v>
      </x:c>
      <x:c r="C388" t="str">
        <x:v>i) 40 a 44 años</x:v>
      </x:c>
      <x:c r="D388" s="1" t="n">
        <x:v>27131</x:v>
      </x:c>
    </x:row>
    <x:row r="389">
      <x:c r="A389" t="str">
        <x:v>TLALPAN</x:v>
      </x:c>
      <x:c r="B389" t="str">
        <x:v>Mujer</x:v>
      </x:c>
      <x:c r="C389" t="str">
        <x:v>j) 45 a 49 años</x:v>
      </x:c>
      <x:c r="D389" s="1" t="n">
        <x:v>27295</x:v>
      </x:c>
    </x:row>
    <x:row r="390">
      <x:c r="A390" t="str">
        <x:v>TLALPAN</x:v>
      </x:c>
      <x:c r="B390" t="str">
        <x:v>Mujer</x:v>
      </x:c>
      <x:c r="C390" t="str">
        <x:v>k) 50 a 54 años</x:v>
      </x:c>
      <x:c r="D390" s="1" t="n">
        <x:v>25187</x:v>
      </x:c>
    </x:row>
    <x:row r="391">
      <x:c r="A391" t="str">
        <x:v>TLALPAN</x:v>
      </x:c>
      <x:c r="B391" t="str">
        <x:v>Mujer</x:v>
      </x:c>
      <x:c r="C391" t="str">
        <x:v>l) 55 a 59 años</x:v>
      </x:c>
      <x:c r="D391" s="1" t="n">
        <x:v>21182</x:v>
      </x:c>
    </x:row>
    <x:row r="392">
      <x:c r="A392" t="str">
        <x:v>TLALPAN</x:v>
      </x:c>
      <x:c r="B392" t="str">
        <x:v>Mujer</x:v>
      </x:c>
      <x:c r="C392" t="str">
        <x:v>m) 60 a 64 años</x:v>
      </x:c>
      <x:c r="D392" s="1" t="n">
        <x:v>19309</x:v>
      </x:c>
    </x:row>
    <x:row r="393">
      <x:c r="A393" t="str">
        <x:v>TLALPAN</x:v>
      </x:c>
      <x:c r="B393" t="str">
        <x:v>Mujer</x:v>
      </x:c>
      <x:c r="C393" t="str">
        <x:v>n) 65 a 69 años</x:v>
      </x:c>
      <x:c r="D393" s="1" t="n">
        <x:v>14965</x:v>
      </x:c>
    </x:row>
    <x:row r="394">
      <x:c r="A394" t="str">
        <x:v>TLALPAN</x:v>
      </x:c>
      <x:c r="B394" t="str">
        <x:v>Mujer</x:v>
      </x:c>
      <x:c r="C394" t="str">
        <x:v>o) 70 a 74 años</x:v>
      </x:c>
      <x:c r="D394" s="1" t="n">
        <x:v>11129</x:v>
      </x:c>
    </x:row>
    <x:row r="395">
      <x:c r="A395" t="str">
        <x:v>TLALPAN</x:v>
      </x:c>
      <x:c r="B395" t="str">
        <x:v>Mujer</x:v>
      </x:c>
      <x:c r="C395" t="str">
        <x:v>p) 75 a 79 años</x:v>
      </x:c>
      <x:c r="D395" s="1" t="n">
        <x:v>7038</x:v>
      </x:c>
    </x:row>
    <x:row r="396">
      <x:c r="A396" t="str">
        <x:v>TLALPAN</x:v>
      </x:c>
      <x:c r="B396" t="str">
        <x:v>Mujer</x:v>
      </x:c>
      <x:c r="C396" t="str">
        <x:v>q) 80 a 84 años</x:v>
      </x:c>
      <x:c r="D396" s="1" t="n">
        <x:v>4809</x:v>
      </x:c>
    </x:row>
    <x:row r="397">
      <x:c r="A397" t="str">
        <x:v>TLALPAN</x:v>
      </x:c>
      <x:c r="B397" t="str">
        <x:v>Mujer</x:v>
      </x:c>
      <x:c r="C397" t="str">
        <x:v>r) 85 años y más</x:v>
      </x:c>
      <x:c r="D397" s="1" t="n">
        <x:v>4311</x:v>
      </x:c>
    </x:row>
    <x:row r="398">
      <x:c r="A398" t="str">
        <x:v>XOCHIMILCO</x:v>
      </x:c>
      <x:c r="B398" t="str">
        <x:v>Hombre</x:v>
      </x:c>
      <x:c r="C398" t="str">
        <x:v>a) 0 a 4 años</x:v>
      </x:c>
      <x:c r="D398" s="1" t="n">
        <x:v>12520</x:v>
      </x:c>
    </x:row>
    <x:row r="399">
      <x:c r="A399" t="str">
        <x:v>XOCHIMILCO</x:v>
      </x:c>
      <x:c r="B399" t="str">
        <x:v>Hombre</x:v>
      </x:c>
      <x:c r="C399" t="str">
        <x:v>b) 5 a 9 años</x:v>
      </x:c>
      <x:c r="D399" s="1" t="n">
        <x:v>15722</x:v>
      </x:c>
    </x:row>
    <x:row r="400">
      <x:c r="A400" t="str">
        <x:v>XOCHIMILCO</x:v>
      </x:c>
      <x:c r="B400" t="str">
        <x:v>Hombre</x:v>
      </x:c>
      <x:c r="C400" t="str">
        <x:v>c) 10 a 14 años</x:v>
      </x:c>
      <x:c r="D400" s="1" t="n">
        <x:v>17025</x:v>
      </x:c>
    </x:row>
    <x:row r="401">
      <x:c r="A401" t="str">
        <x:v>XOCHIMILCO</x:v>
      </x:c>
      <x:c r="B401" t="str">
        <x:v>Hombre</x:v>
      </x:c>
      <x:c r="C401" t="str">
        <x:v>d) 15 a 19 años</x:v>
      </x:c>
      <x:c r="D401" s="1" t="n">
        <x:v>17733</x:v>
      </x:c>
    </x:row>
    <x:row r="402">
      <x:c r="A402" t="str">
        <x:v>XOCHIMILCO</x:v>
      </x:c>
      <x:c r="B402" t="str">
        <x:v>Hombre</x:v>
      </x:c>
      <x:c r="C402" t="str">
        <x:v>e) 20 a 24 años</x:v>
      </x:c>
      <x:c r="D402" s="1" t="n">
        <x:v>18639</x:v>
      </x:c>
    </x:row>
    <x:row r="403">
      <x:c r="A403" t="str">
        <x:v>XOCHIMILCO</x:v>
      </x:c>
      <x:c r="B403" t="str">
        <x:v>Hombre</x:v>
      </x:c>
      <x:c r="C403" t="str">
        <x:v>f) 25 a 29 años</x:v>
      </x:c>
      <x:c r="D403" s="1" t="n">
        <x:v>18611</x:v>
      </x:c>
    </x:row>
    <x:row r="404">
      <x:c r="A404" t="str">
        <x:v>XOCHIMILCO</x:v>
      </x:c>
      <x:c r="B404" t="str">
        <x:v>Hombre</x:v>
      </x:c>
      <x:c r="C404" t="str">
        <x:v>g) 30 a 34 años</x:v>
      </x:c>
      <x:c r="D404" s="1" t="n">
        <x:v>16996</x:v>
      </x:c>
    </x:row>
    <x:row r="405">
      <x:c r="A405" t="str">
        <x:v>XOCHIMILCO</x:v>
      </x:c>
      <x:c r="B405" t="str">
        <x:v>Hombre</x:v>
      </x:c>
      <x:c r="C405" t="str">
        <x:v>h) 35 a 39 años</x:v>
      </x:c>
      <x:c r="D405" s="1" t="n">
        <x:v>16200</x:v>
      </x:c>
    </x:row>
    <x:row r="406">
      <x:c r="A406" t="str">
        <x:v>XOCHIMILCO</x:v>
      </x:c>
      <x:c r="B406" t="str">
        <x:v>Hombre</x:v>
      </x:c>
      <x:c r="C406" t="str">
        <x:v>i) 40 a 44 años</x:v>
      </x:c>
      <x:c r="D406" s="1" t="n">
        <x:v>15197</x:v>
      </x:c>
    </x:row>
    <x:row r="407">
      <x:c r="A407" t="str">
        <x:v>XOCHIMILCO</x:v>
      </x:c>
      <x:c r="B407" t="str">
        <x:v>Hombre</x:v>
      </x:c>
      <x:c r="C407" t="str">
        <x:v>j) 45 a 49 años</x:v>
      </x:c>
      <x:c r="D407" s="1" t="n">
        <x:v>14723</x:v>
      </x:c>
    </x:row>
    <x:row r="408">
      <x:c r="A408" t="str">
        <x:v>XOCHIMILCO</x:v>
      </x:c>
      <x:c r="B408" t="str">
        <x:v>Hombre</x:v>
      </x:c>
      <x:c r="C408" t="str">
        <x:v>k) 50 a 54 años</x:v>
      </x:c>
      <x:c r="D408" s="1" t="n">
        <x:v>13621</x:v>
      </x:c>
    </x:row>
    <x:row r="409">
      <x:c r="A409" t="str">
        <x:v>XOCHIMILCO</x:v>
      </x:c>
      <x:c r="B409" t="str">
        <x:v>Hombre</x:v>
      </x:c>
      <x:c r="C409" t="str">
        <x:v>l) 55 a 59 años</x:v>
      </x:c>
      <x:c r="D409" s="1" t="n">
        <x:v>11090</x:v>
      </x:c>
    </x:row>
    <x:row r="410">
      <x:c r="A410" t="str">
        <x:v>XOCHIMILCO</x:v>
      </x:c>
      <x:c r="B410" t="str">
        <x:v>Hombre</x:v>
      </x:c>
      <x:c r="C410" t="str">
        <x:v>m) 60 a 64 años</x:v>
      </x:c>
      <x:c r="D410" s="1" t="n">
        <x:v>9360</x:v>
      </x:c>
    </x:row>
    <x:row r="411">
      <x:c r="A411" t="str">
        <x:v>XOCHIMILCO</x:v>
      </x:c>
      <x:c r="B411" t="str">
        <x:v>Hombre</x:v>
      </x:c>
      <x:c r="C411" t="str">
        <x:v>n) 65 a 69 años</x:v>
      </x:c>
      <x:c r="D411" s="1" t="n">
        <x:v>6846</x:v>
      </x:c>
    </x:row>
    <x:row r="412">
      <x:c r="A412" t="str">
        <x:v>XOCHIMILCO</x:v>
      </x:c>
      <x:c r="B412" t="str">
        <x:v>Hombre</x:v>
      </x:c>
      <x:c r="C412" t="str">
        <x:v>o) 70 a 74 años</x:v>
      </x:c>
      <x:c r="D412" s="1" t="n">
        <x:v>4882</x:v>
      </x:c>
    </x:row>
    <x:row r="413">
      <x:c r="A413" t="str">
        <x:v>XOCHIMILCO</x:v>
      </x:c>
      <x:c r="B413" t="str">
        <x:v>Hombre</x:v>
      </x:c>
      <x:c r="C413" t="str">
        <x:v>p) 75 a 79 años</x:v>
      </x:c>
      <x:c r="D413" s="1" t="n">
        <x:v>3048</x:v>
      </x:c>
    </x:row>
    <x:row r="414">
      <x:c r="A414" t="str">
        <x:v>XOCHIMILCO</x:v>
      </x:c>
      <x:c r="B414" t="str">
        <x:v>Hombre</x:v>
      </x:c>
      <x:c r="C414" t="str">
        <x:v>q) 80 a 84 años</x:v>
      </x:c>
      <x:c r="D414" s="1" t="n">
        <x:v>1729</x:v>
      </x:c>
    </x:row>
    <x:row r="415">
      <x:c r="A415" t="str">
        <x:v>XOCHIMILCO</x:v>
      </x:c>
      <x:c r="B415" t="str">
        <x:v>Hombre</x:v>
      </x:c>
      <x:c r="C415" t="str">
        <x:v>r) 85 años y más</x:v>
      </x:c>
      <x:c r="D415" s="1" t="n">
        <x:v>1407</x:v>
      </x:c>
    </x:row>
    <x:row r="416">
      <x:c r="A416" t="str">
        <x:v>XOCHIMILCO</x:v>
      </x:c>
      <x:c r="B416" t="str">
        <x:v>Mujer</x:v>
      </x:c>
      <x:c r="C416" t="str">
        <x:v>a) 0 a 4 años</x:v>
      </x:c>
      <x:c r="D416" s="1" t="n">
        <x:v>12350</x:v>
      </x:c>
    </x:row>
    <x:row r="417">
      <x:c r="A417" t="str">
        <x:v>XOCHIMILCO</x:v>
      </x:c>
      <x:c r="B417" t="str">
        <x:v>Mujer</x:v>
      </x:c>
      <x:c r="C417" t="str">
        <x:v>b) 5 a 9 años</x:v>
      </x:c>
      <x:c r="D417" s="1" t="n">
        <x:v>15183</x:v>
      </x:c>
    </x:row>
    <x:row r="418">
      <x:c r="A418" t="str">
        <x:v>XOCHIMILCO</x:v>
      </x:c>
      <x:c r="B418" t="str">
        <x:v>Mujer</x:v>
      </x:c>
      <x:c r="C418" t="str">
        <x:v>c) 10 a 14 años</x:v>
      </x:c>
      <x:c r="D418" s="1" t="n">
        <x:v>16249</x:v>
      </x:c>
    </x:row>
    <x:row r="419">
      <x:c r="A419" t="str">
        <x:v>XOCHIMILCO</x:v>
      </x:c>
      <x:c r="B419" t="str">
        <x:v>Mujer</x:v>
      </x:c>
      <x:c r="C419" t="str">
        <x:v>d) 15 a 19 años</x:v>
      </x:c>
      <x:c r="D419" s="1" t="n">
        <x:v>17223</x:v>
      </x:c>
    </x:row>
    <x:row r="420">
      <x:c r="A420" t="str">
        <x:v>XOCHIMILCO</x:v>
      </x:c>
      <x:c r="B420" t="str">
        <x:v>Mujer</x:v>
      </x:c>
      <x:c r="C420" t="str">
        <x:v>e) 20 a 24 años</x:v>
      </x:c>
      <x:c r="D420" s="1" t="n">
        <x:v>18340</x:v>
      </x:c>
    </x:row>
    <x:row r="421">
      <x:c r="A421" t="str">
        <x:v>XOCHIMILCO</x:v>
      </x:c>
      <x:c r="B421" t="str">
        <x:v>Mujer</x:v>
      </x:c>
      <x:c r="C421" t="str">
        <x:v>f) 25 a 29 años</x:v>
      </x:c>
      <x:c r="D421" s="1" t="n">
        <x:v>17952</x:v>
      </x:c>
    </x:row>
    <x:row r="422">
      <x:c r="A422" t="str">
        <x:v>XOCHIMILCO</x:v>
      </x:c>
      <x:c r="B422" t="str">
        <x:v>Mujer</x:v>
      </x:c>
      <x:c r="C422" t="str">
        <x:v>g) 30 a 34 años</x:v>
      </x:c>
      <x:c r="D422" s="1" t="n">
        <x:v>17296</x:v>
      </x:c>
    </x:row>
    <x:row r="423">
      <x:c r="A423" t="str">
        <x:v>XOCHIMILCO</x:v>
      </x:c>
      <x:c r="B423" t="str">
        <x:v>Mujer</x:v>
      </x:c>
      <x:c r="C423" t="str">
        <x:v>h) 35 a 39 años</x:v>
      </x:c>
      <x:c r="D423" s="1" t="n">
        <x:v>17080</x:v>
      </x:c>
    </x:row>
    <x:row r="424">
      <x:c r="A424" t="str">
        <x:v>XOCHIMILCO</x:v>
      </x:c>
      <x:c r="B424" t="str">
        <x:v>Mujer</x:v>
      </x:c>
      <x:c r="C424" t="str">
        <x:v>i) 40 a 44 años</x:v>
      </x:c>
      <x:c r="D424" s="1" t="n">
        <x:v>16589</x:v>
      </x:c>
    </x:row>
    <x:row r="425">
      <x:c r="A425" t="str">
        <x:v>XOCHIMILCO</x:v>
      </x:c>
      <x:c r="B425" t="str">
        <x:v>Mujer</x:v>
      </x:c>
      <x:c r="C425" t="str">
        <x:v>j) 45 a 49 años</x:v>
      </x:c>
      <x:c r="D425" s="1" t="n">
        <x:v>16376</x:v>
      </x:c>
    </x:row>
    <x:row r="426">
      <x:c r="A426" t="str">
        <x:v>XOCHIMILCO</x:v>
      </x:c>
      <x:c r="B426" t="str">
        <x:v>Mujer</x:v>
      </x:c>
      <x:c r="C426" t="str">
        <x:v>k) 50 a 54 años</x:v>
      </x:c>
      <x:c r="D426" s="1" t="n">
        <x:v>15514</x:v>
      </x:c>
    </x:row>
    <x:row r="427">
      <x:c r="A427" t="str">
        <x:v>XOCHIMILCO</x:v>
      </x:c>
      <x:c r="B427" t="str">
        <x:v>Mujer</x:v>
      </x:c>
      <x:c r="C427" t="str">
        <x:v>l) 55 a 59 años</x:v>
      </x:c>
      <x:c r="D427" s="1" t="n">
        <x:v>12753</x:v>
      </x:c>
    </x:row>
    <x:row r="428">
      <x:c r="A428" t="str">
        <x:v>XOCHIMILCO</x:v>
      </x:c>
      <x:c r="B428" t="str">
        <x:v>Mujer</x:v>
      </x:c>
      <x:c r="C428" t="str">
        <x:v>m) 60 a 64 años</x:v>
      </x:c>
      <x:c r="D428" s="1" t="n">
        <x:v>10934</x:v>
      </x:c>
    </x:row>
    <x:row r="429">
      <x:c r="A429" t="str">
        <x:v>XOCHIMILCO</x:v>
      </x:c>
      <x:c r="B429" t="str">
        <x:v>Mujer</x:v>
      </x:c>
      <x:c r="C429" t="str">
        <x:v>n) 65 a 69 años</x:v>
      </x:c>
      <x:c r="D429" s="1" t="n">
        <x:v>8099</x:v>
      </x:c>
    </x:row>
    <x:row r="430">
      <x:c r="A430" t="str">
        <x:v>XOCHIMILCO</x:v>
      </x:c>
      <x:c r="B430" t="str">
        <x:v>Mujer</x:v>
      </x:c>
      <x:c r="C430" t="str">
        <x:v>o) 70 a 74 años</x:v>
      </x:c>
      <x:c r="D430" s="1" t="n">
        <x:v>5993</x:v>
      </x:c>
    </x:row>
    <x:row r="431">
      <x:c r="A431" t="str">
        <x:v>XOCHIMILCO</x:v>
      </x:c>
      <x:c r="B431" t="str">
        <x:v>Mujer</x:v>
      </x:c>
      <x:c r="C431" t="str">
        <x:v>p) 75 a 79 años</x:v>
      </x:c>
      <x:c r="D431" s="1" t="n">
        <x:v>3746</x:v>
      </x:c>
    </x:row>
    <x:row r="432">
      <x:c r="A432" t="str">
        <x:v>XOCHIMILCO</x:v>
      </x:c>
      <x:c r="B432" t="str">
        <x:v>Mujer</x:v>
      </x:c>
      <x:c r="C432" t="str">
        <x:v>q) 80 a 84 años</x:v>
      </x:c>
      <x:c r="D432" s="1" t="n">
        <x:v>2506</x:v>
      </x:c>
    </x:row>
    <x:row r="433">
      <x:c r="A433" t="str">
        <x:v>XOCHIMILCO</x:v>
      </x:c>
      <x:c r="B433" t="str">
        <x:v>Mujer</x:v>
      </x:c>
      <x:c r="C433" t="str">
        <x:v>r) 85 años y más</x:v>
      </x:c>
      <x:c r="D433" s="1" t="n">
        <x:v>2437</x:v>
      </x:c>
    </x:row>
    <x:row r="434">
      <x:c r="A434" t="str">
        <x:v>BENITO JUAREZ</x:v>
      </x:c>
      <x:c r="B434" t="str">
        <x:v>Hombre</x:v>
      </x:c>
      <x:c r="C434" t="str">
        <x:v>a) 0 a 4 años</x:v>
      </x:c>
      <x:c r="D434" s="1" t="n">
        <x:v>8451</x:v>
      </x:c>
    </x:row>
    <x:row r="435">
      <x:c r="A435" t="str">
        <x:v>BENITO JUAREZ</x:v>
      </x:c>
      <x:c r="B435" t="str">
        <x:v>Hombre</x:v>
      </x:c>
      <x:c r="C435" t="str">
        <x:v>b) 5 a 9 años</x:v>
      </x:c>
      <x:c r="D435" s="1" t="n">
        <x:v>8641</x:v>
      </x:c>
    </x:row>
    <x:row r="436">
      <x:c r="A436" t="str">
        <x:v>BENITO JUAREZ</x:v>
      </x:c>
      <x:c r="B436" t="str">
        <x:v>Hombre</x:v>
      </x:c>
      <x:c r="C436" t="str">
        <x:v>c) 10 a 14 años</x:v>
      </x:c>
      <x:c r="D436" s="1" t="n">
        <x:v>8962</x:v>
      </x:c>
    </x:row>
    <x:row r="437">
      <x:c r="A437" t="str">
        <x:v>BENITO JUAREZ</x:v>
      </x:c>
      <x:c r="B437" t="str">
        <x:v>Hombre</x:v>
      </x:c>
      <x:c r="C437" t="str">
        <x:v>d) 15 a 19 años</x:v>
      </x:c>
      <x:c r="D437" s="1" t="n">
        <x:v>9563</x:v>
      </x:c>
    </x:row>
    <x:row r="438">
      <x:c r="A438" t="str">
        <x:v>BENITO JUAREZ</x:v>
      </x:c>
      <x:c r="B438" t="str">
        <x:v>Hombre</x:v>
      </x:c>
      <x:c r="C438" t="str">
        <x:v>e) 20 a 24 años</x:v>
      </x:c>
      <x:c r="D438" s="1" t="n">
        <x:v>12351</x:v>
      </x:c>
    </x:row>
    <x:row r="439">
      <x:c r="A439" t="str">
        <x:v>BENITO JUAREZ</x:v>
      </x:c>
      <x:c r="B439" t="str">
        <x:v>Hombre</x:v>
      </x:c>
      <x:c r="C439" t="str">
        <x:v>f) 25 a 29 años</x:v>
      </x:c>
      <x:c r="D439" s="1" t="n">
        <x:v>17844</x:v>
      </x:c>
    </x:row>
    <x:row r="440">
      <x:c r="A440" t="str">
        <x:v>BENITO JUAREZ</x:v>
      </x:c>
      <x:c r="B440" t="str">
        <x:v>Hombre</x:v>
      </x:c>
      <x:c r="C440" t="str">
        <x:v>g) 30 a 34 años</x:v>
      </x:c>
      <x:c r="D440" s="1" t="n">
        <x:v>21909</x:v>
      </x:c>
    </x:row>
    <x:row r="441">
      <x:c r="A441" t="str">
        <x:v>BENITO JUAREZ</x:v>
      </x:c>
      <x:c r="B441" t="str">
        <x:v>Hombre</x:v>
      </x:c>
      <x:c r="C441" t="str">
        <x:v>h) 35 a 39 años</x:v>
      </x:c>
      <x:c r="D441" s="1" t="n">
        <x:v>21123</x:v>
      </x:c>
    </x:row>
    <x:row r="442">
      <x:c r="A442" t="str">
        <x:v>BENITO JUAREZ</x:v>
      </x:c>
      <x:c r="B442" t="str">
        <x:v>Hombre</x:v>
      </x:c>
      <x:c r="C442" t="str">
        <x:v>i) 40 a 44 años</x:v>
      </x:c>
      <x:c r="D442" s="1" t="n">
        <x:v>17613</x:v>
      </x:c>
    </x:row>
    <x:row r="443">
      <x:c r="A443" t="str">
        <x:v>BENITO JUAREZ</x:v>
      </x:c>
      <x:c r="B443" t="str">
        <x:v>Hombre</x:v>
      </x:c>
      <x:c r="C443" t="str">
        <x:v>j) 45 a 49 años</x:v>
      </x:c>
      <x:c r="D443" s="1" t="n">
        <x:v>15941</x:v>
      </x:c>
    </x:row>
    <x:row r="444">
      <x:c r="A444" t="str">
        <x:v>BENITO JUAREZ</x:v>
      </x:c>
      <x:c r="B444" t="str">
        <x:v>Hombre</x:v>
      </x:c>
      <x:c r="C444" t="str">
        <x:v>k) 50 a 54 años</x:v>
      </x:c>
      <x:c r="D444" s="1" t="n">
        <x:v>13181</x:v>
      </x:c>
    </x:row>
    <x:row r="445">
      <x:c r="A445" t="str">
        <x:v>BENITO JUAREZ</x:v>
      </x:c>
      <x:c r="B445" t="str">
        <x:v>Hombre</x:v>
      </x:c>
      <x:c r="C445" t="str">
        <x:v>l) 55 a 59 años</x:v>
      </x:c>
      <x:c r="D445" s="1" t="n">
        <x:v>11800</x:v>
      </x:c>
    </x:row>
    <x:row r="446">
      <x:c r="A446" t="str">
        <x:v>BENITO JUAREZ</x:v>
      </x:c>
      <x:c r="B446" t="str">
        <x:v>Hombre</x:v>
      </x:c>
      <x:c r="C446" t="str">
        <x:v>m) 60 a 64 años</x:v>
      </x:c>
      <x:c r="D446" s="1" t="n">
        <x:v>10937</x:v>
      </x:c>
    </x:row>
    <x:row r="447">
      <x:c r="A447" t="str">
        <x:v>BENITO JUAREZ</x:v>
      </x:c>
      <x:c r="B447" t="str">
        <x:v>Hombre</x:v>
      </x:c>
      <x:c r="C447" t="str">
        <x:v>n) 65 a 69 años</x:v>
      </x:c>
      <x:c r="D447" s="1" t="n">
        <x:v>8583</x:v>
      </x:c>
    </x:row>
    <x:row r="448">
      <x:c r="A448" t="str">
        <x:v>BENITO JUAREZ</x:v>
      </x:c>
      <x:c r="B448" t="str">
        <x:v>Hombre</x:v>
      </x:c>
      <x:c r="C448" t="str">
        <x:v>o) 70 a 74 años</x:v>
      </x:c>
      <x:c r="D448" s="1" t="n">
        <x:v>6472</x:v>
      </x:c>
    </x:row>
    <x:row r="449">
      <x:c r="A449" t="str">
        <x:v>BENITO JUAREZ</x:v>
      </x:c>
      <x:c r="B449" t="str">
        <x:v>Hombre</x:v>
      </x:c>
      <x:c r="C449" t="str">
        <x:v>p) 75 a 79 años</x:v>
      </x:c>
      <x:c r="D449" s="1" t="n">
        <x:v>4031</x:v>
      </x:c>
    </x:row>
    <x:row r="450">
      <x:c r="A450" t="str">
        <x:v>BENITO JUAREZ</x:v>
      </x:c>
      <x:c r="B450" t="str">
        <x:v>Hombre</x:v>
      </x:c>
      <x:c r="C450" t="str">
        <x:v>q) 80 a 84 años</x:v>
      </x:c>
      <x:c r="D450" s="1" t="n">
        <x:v>2584</x:v>
      </x:c>
    </x:row>
    <x:row r="451">
      <x:c r="A451" t="str">
        <x:v>BENITO JUAREZ</x:v>
      </x:c>
      <x:c r="B451" t="str">
        <x:v>Hombre</x:v>
      </x:c>
      <x:c r="C451" t="str">
        <x:v>r) 85 años y más</x:v>
      </x:c>
      <x:c r="D451" s="1" t="n">
        <x:v>2122</x:v>
      </x:c>
    </x:row>
    <x:row r="452">
      <x:c r="A452" t="str">
        <x:v>BENITO JUAREZ</x:v>
      </x:c>
      <x:c r="B452" t="str">
        <x:v>Mujer</x:v>
      </x:c>
      <x:c r="C452" t="str">
        <x:v>a) 0 a 4 años</x:v>
      </x:c>
      <x:c r="D452" s="1" t="n">
        <x:v>8191</x:v>
      </x:c>
    </x:row>
    <x:row r="453">
      <x:c r="A453" t="str">
        <x:v>BENITO JUAREZ</x:v>
      </x:c>
      <x:c r="B453" t="str">
        <x:v>Mujer</x:v>
      </x:c>
      <x:c r="C453" t="str">
        <x:v>b) 5 a 9 años</x:v>
      </x:c>
      <x:c r="D453" s="1" t="n">
        <x:v>8428</x:v>
      </x:c>
    </x:row>
    <x:row r="454">
      <x:c r="A454" t="str">
        <x:v>BENITO JUAREZ</x:v>
      </x:c>
      <x:c r="B454" t="str">
        <x:v>Mujer</x:v>
      </x:c>
      <x:c r="C454" t="str">
        <x:v>c) 10 a 14 años</x:v>
      </x:c>
      <x:c r="D454" s="1" t="n">
        <x:v>8570</x:v>
      </x:c>
    </x:row>
    <x:row r="455">
      <x:c r="A455" t="str">
        <x:v>BENITO JUAREZ</x:v>
      </x:c>
      <x:c r="B455" t="str">
        <x:v>Mujer</x:v>
      </x:c>
      <x:c r="C455" t="str">
        <x:v>d) 15 a 19 años</x:v>
      </x:c>
      <x:c r="D455" s="1" t="n">
        <x:v>9407</x:v>
      </x:c>
    </x:row>
    <x:row r="456">
      <x:c r="A456" t="str">
        <x:v>BENITO JUAREZ</x:v>
      </x:c>
      <x:c r="B456" t="str">
        <x:v>Mujer</x:v>
      </x:c>
      <x:c r="C456" t="str">
        <x:v>e) 20 a 24 años</x:v>
      </x:c>
      <x:c r="D456" s="1" t="n">
        <x:v>12760</x:v>
      </x:c>
    </x:row>
    <x:row r="457">
      <x:c r="A457" t="str">
        <x:v>BENITO JUAREZ</x:v>
      </x:c>
      <x:c r="B457" t="str">
        <x:v>Mujer</x:v>
      </x:c>
      <x:c r="C457" t="str">
        <x:v>f) 25 a 29 años</x:v>
      </x:c>
      <x:c r="D457" s="1" t="n">
        <x:v>19331</x:v>
      </x:c>
    </x:row>
    <x:row r="458">
      <x:c r="A458" t="str">
        <x:v>BENITO JUAREZ</x:v>
      </x:c>
      <x:c r="B458" t="str">
        <x:v>Mujer</x:v>
      </x:c>
      <x:c r="C458" t="str">
        <x:v>g) 30 a 34 años</x:v>
      </x:c>
      <x:c r="D458" s="1" t="n">
        <x:v>23278</x:v>
      </x:c>
    </x:row>
    <x:row r="459">
      <x:c r="A459" t="str">
        <x:v>BENITO JUAREZ</x:v>
      </x:c>
      <x:c r="B459" t="str">
        <x:v>Mujer</x:v>
      </x:c>
      <x:c r="C459" t="str">
        <x:v>h) 35 a 39 años</x:v>
      </x:c>
      <x:c r="D459" s="1" t="n">
        <x:v>21844</x:v>
      </x:c>
    </x:row>
    <x:row r="460">
      <x:c r="A460" t="str">
        <x:v>BENITO JUAREZ</x:v>
      </x:c>
      <x:c r="B460" t="str">
        <x:v>Mujer</x:v>
      </x:c>
      <x:c r="C460" t="str">
        <x:v>i) 40 a 44 años</x:v>
      </x:c>
      <x:c r="D460" s="1" t="n">
        <x:v>19236</x:v>
      </x:c>
    </x:row>
    <x:row r="461">
      <x:c r="A461" t="str">
        <x:v>BENITO JUAREZ</x:v>
      </x:c>
      <x:c r="B461" t="str">
        <x:v>Mujer</x:v>
      </x:c>
      <x:c r="C461" t="str">
        <x:v>j) 45 a 49 años</x:v>
      </x:c>
      <x:c r="D461" s="1" t="n">
        <x:v>17590</x:v>
      </x:c>
    </x:row>
    <x:row r="462">
      <x:c r="A462" t="str">
        <x:v>BENITO JUAREZ</x:v>
      </x:c>
      <x:c r="B462" t="str">
        <x:v>Mujer</x:v>
      </x:c>
      <x:c r="C462" t="str">
        <x:v>k) 50 a 54 años</x:v>
      </x:c>
      <x:c r="D462" s="1" t="n">
        <x:v>15844</x:v>
      </x:c>
    </x:row>
    <x:row r="463">
      <x:c r="A463" t="str">
        <x:v>BENITO JUAREZ</x:v>
      </x:c>
      <x:c r="B463" t="str">
        <x:v>Mujer</x:v>
      </x:c>
      <x:c r="C463" t="str">
        <x:v>l) 55 a 59 años</x:v>
      </x:c>
      <x:c r="D463" s="1" t="n">
        <x:v>14913</x:v>
      </x:c>
    </x:row>
    <x:row r="464">
      <x:c r="A464" t="str">
        <x:v>BENITO JUAREZ</x:v>
      </x:c>
      <x:c r="B464" t="str">
        <x:v>Mujer</x:v>
      </x:c>
      <x:c r="C464" t="str">
        <x:v>m) 60 a 64 años</x:v>
      </x:c>
      <x:c r="D464" s="1" t="n">
        <x:v>14814</x:v>
      </x:c>
    </x:row>
    <x:row r="465">
      <x:c r="A465" t="str">
        <x:v>BENITO JUAREZ</x:v>
      </x:c>
      <x:c r="B465" t="str">
        <x:v>Mujer</x:v>
      </x:c>
      <x:c r="C465" t="str">
        <x:v>n) 65 a 69 años</x:v>
      </x:c>
      <x:c r="D465" s="1" t="n">
        <x:v>11850</x:v>
      </x:c>
    </x:row>
    <x:row r="466">
      <x:c r="A466" t="str">
        <x:v>BENITO JUAREZ</x:v>
      </x:c>
      <x:c r="B466" t="str">
        <x:v>Mujer</x:v>
      </x:c>
      <x:c r="C466" t="str">
        <x:v>o) 70 a 74 años</x:v>
      </x:c>
      <x:c r="D466" s="1" t="n">
        <x:v>9617</x:v>
      </x:c>
    </x:row>
    <x:row r="467">
      <x:c r="A467" t="str">
        <x:v>BENITO JUAREZ</x:v>
      </x:c>
      <x:c r="B467" t="str">
        <x:v>Mujer</x:v>
      </x:c>
      <x:c r="C467" t="str">
        <x:v>p) 75 a 79 años</x:v>
      </x:c>
      <x:c r="D467" s="1" t="n">
        <x:v>6395</x:v>
      </x:c>
    </x:row>
    <x:row r="468">
      <x:c r="A468" t="str">
        <x:v>BENITO JUAREZ</x:v>
      </x:c>
      <x:c r="B468" t="str">
        <x:v>Mujer</x:v>
      </x:c>
      <x:c r="C468" t="str">
        <x:v>q) 80 a 84 años</x:v>
      </x:c>
      <x:c r="D468" s="1" t="n">
        <x:v>4764</x:v>
      </x:c>
    </x:row>
    <x:row r="469">
      <x:c r="A469" t="str">
        <x:v>BENITO JUAREZ</x:v>
      </x:c>
      <x:c r="B469" t="str">
        <x:v>Mujer</x:v>
      </x:c>
      <x:c r="C469" t="str">
        <x:v>r) 85 años y más</x:v>
      </x:c>
      <x:c r="D469" s="1" t="n">
        <x:v>5175</x:v>
      </x:c>
    </x:row>
    <x:row r="470">
      <x:c r="A470" t="str">
        <x:v>CUAUHTEMOC</x:v>
      </x:c>
      <x:c r="B470" t="str">
        <x:v>Hombre</x:v>
      </x:c>
      <x:c r="C470" t="str">
        <x:v>a) 0 a 4 años</x:v>
      </x:c>
      <x:c r="D470" s="1" t="n">
        <x:v>13027</x:v>
      </x:c>
    </x:row>
    <x:row r="471">
      <x:c r="A471" t="str">
        <x:v>CUAUHTEMOC</x:v>
      </x:c>
      <x:c r="B471" t="str">
        <x:v>Hombre</x:v>
      </x:c>
      <x:c r="C471" t="str">
        <x:v>b) 5 a 9 años</x:v>
      </x:c>
      <x:c r="D471" s="1" t="n">
        <x:v>13971</x:v>
      </x:c>
    </x:row>
    <x:row r="472">
      <x:c r="A472" t="str">
        <x:v>CUAUHTEMOC</x:v>
      </x:c>
      <x:c r="B472" t="str">
        <x:v>Hombre</x:v>
      </x:c>
      <x:c r="C472" t="str">
        <x:v>c) 10 a 14 años</x:v>
      </x:c>
      <x:c r="D472" s="1" t="n">
        <x:v>15217</x:v>
      </x:c>
    </x:row>
    <x:row r="473">
      <x:c r="A473" t="str">
        <x:v>CUAUHTEMOC</x:v>
      </x:c>
      <x:c r="B473" t="str">
        <x:v>Hombre</x:v>
      </x:c>
      <x:c r="C473" t="str">
        <x:v>d) 15 a 19 años</x:v>
      </x:c>
      <x:c r="D473" s="1" t="n">
        <x:v>16162</x:v>
      </x:c>
    </x:row>
    <x:row r="474">
      <x:c r="A474" t="str">
        <x:v>CUAUHTEMOC</x:v>
      </x:c>
      <x:c r="B474" t="str">
        <x:v>Hombre</x:v>
      </x:c>
      <x:c r="C474" t="str">
        <x:v>e) 20 a 24 años</x:v>
      </x:c>
      <x:c r="D474" s="1" t="n">
        <x:v>19045</x:v>
      </x:c>
    </x:row>
    <x:row r="475">
      <x:c r="A475" t="str">
        <x:v>CUAUHTEMOC</x:v>
      </x:c>
      <x:c r="B475" t="str">
        <x:v>Hombre</x:v>
      </x:c>
      <x:c r="C475" t="str">
        <x:v>f) 25 a 29 años</x:v>
      </x:c>
      <x:c r="D475" s="1" t="n">
        <x:v>25021</x:v>
      </x:c>
    </x:row>
    <x:row r="476">
      <x:c r="A476" t="str">
        <x:v>CUAUHTEMOC</x:v>
      </x:c>
      <x:c r="B476" t="str">
        <x:v>Hombre</x:v>
      </x:c>
      <x:c r="C476" t="str">
        <x:v>g) 30 a 34 años</x:v>
      </x:c>
      <x:c r="D476" s="1" t="n">
        <x:v>27072</x:v>
      </x:c>
    </x:row>
    <x:row r="477">
      <x:c r="A477" t="str">
        <x:v>CUAUHTEMOC</x:v>
      </x:c>
      <x:c r="B477" t="str">
        <x:v>Hombre</x:v>
      </x:c>
      <x:c r="C477" t="str">
        <x:v>h) 35 a 39 años</x:v>
      </x:c>
      <x:c r="D477" s="1" t="n">
        <x:v>23744</x:v>
      </x:c>
    </x:row>
    <x:row r="478">
      <x:c r="A478" t="str">
        <x:v>CUAUHTEMOC</x:v>
      </x:c>
      <x:c r="B478" t="str">
        <x:v>Hombre</x:v>
      </x:c>
      <x:c r="C478" t="str">
        <x:v>i) 40 a 44 años</x:v>
      </x:c>
      <x:c r="D478" s="1" t="n">
        <x:v>19976</x:v>
      </x:c>
    </x:row>
    <x:row r="479">
      <x:c r="A479" t="str">
        <x:v>CUAUHTEMOC</x:v>
      </x:c>
      <x:c r="B479" t="str">
        <x:v>Hombre</x:v>
      </x:c>
      <x:c r="C479" t="str">
        <x:v>j) 45 a 49 años</x:v>
      </x:c>
      <x:c r="D479" s="1" t="n">
        <x:v>18634</x:v>
      </x:c>
    </x:row>
    <x:row r="480">
      <x:c r="A480" t="str">
        <x:v>CUAUHTEMOC</x:v>
      </x:c>
      <x:c r="B480" t="str">
        <x:v>Hombre</x:v>
      </x:c>
      <x:c r="C480" t="str">
        <x:v>k) 50 a 54 años</x:v>
      </x:c>
      <x:c r="D480" s="1" t="n">
        <x:v>16398</x:v>
      </x:c>
    </x:row>
    <x:row r="481">
      <x:c r="A481" t="str">
        <x:v>CUAUHTEMOC</x:v>
      </x:c>
      <x:c r="B481" t="str">
        <x:v>Hombre</x:v>
      </x:c>
      <x:c r="C481" t="str">
        <x:v>l) 55 a 59 años</x:v>
      </x:c>
      <x:c r="D481" s="1" t="n">
        <x:v>13993</x:v>
      </x:c>
    </x:row>
    <x:row r="482">
      <x:c r="A482" t="str">
        <x:v>CUAUHTEMOC</x:v>
      </x:c>
      <x:c r="B482" t="str">
        <x:v>Hombre</x:v>
      </x:c>
      <x:c r="C482" t="str">
        <x:v>m) 60 a 64 años</x:v>
      </x:c>
      <x:c r="D482" s="1" t="n">
        <x:v>12776</x:v>
      </x:c>
    </x:row>
    <x:row r="483">
      <x:c r="A483" t="str">
        <x:v>CUAUHTEMOC</x:v>
      </x:c>
      <x:c r="B483" t="str">
        <x:v>Hombre</x:v>
      </x:c>
      <x:c r="C483" t="str">
        <x:v>n) 65 a 69 años</x:v>
      </x:c>
      <x:c r="D483" s="1" t="n">
        <x:v>9666</x:v>
      </x:c>
    </x:row>
    <x:row r="484">
      <x:c r="A484" t="str">
        <x:v>CUAUHTEMOC</x:v>
      </x:c>
      <x:c r="B484" t="str">
        <x:v>Hombre</x:v>
      </x:c>
      <x:c r="C484" t="str">
        <x:v>o) 70 a 74 años</x:v>
      </x:c>
      <x:c r="D484" s="1" t="n">
        <x:v>7036</x:v>
      </x:c>
    </x:row>
    <x:row r="485">
      <x:c r="A485" t="str">
        <x:v>CUAUHTEMOC</x:v>
      </x:c>
      <x:c r="B485" t="str">
        <x:v>Hombre</x:v>
      </x:c>
      <x:c r="C485" t="str">
        <x:v>p) 75 a 79 años</x:v>
      </x:c>
      <x:c r="D485" s="1" t="n">
        <x:v>4341</x:v>
      </x:c>
    </x:row>
    <x:row r="486">
      <x:c r="A486" t="str">
        <x:v>CUAUHTEMOC</x:v>
      </x:c>
      <x:c r="B486" t="str">
        <x:v>Hombre</x:v>
      </x:c>
      <x:c r="C486" t="str">
        <x:v>q) 80 a 84 años</x:v>
      </x:c>
      <x:c r="D486" s="1" t="n">
        <x:v>2705</x:v>
      </x:c>
    </x:row>
    <x:row r="487">
      <x:c r="A487" t="str">
        <x:v>CUAUHTEMOC</x:v>
      </x:c>
      <x:c r="B487" t="str">
        <x:v>Hombre</x:v>
      </x:c>
      <x:c r="C487" t="str">
        <x:v>r) 85 años y más</x:v>
      </x:c>
      <x:c r="D487" s="1" t="n">
        <x:v>2139</x:v>
      </x:c>
    </x:row>
    <x:row r="488">
      <x:c r="A488" t="str">
        <x:v>CUAUHTEMOC</x:v>
      </x:c>
      <x:c r="B488" t="str">
        <x:v>Mujer</x:v>
      </x:c>
      <x:c r="C488" t="str">
        <x:v>a) 0 a 4 años</x:v>
      </x:c>
      <x:c r="D488" s="1" t="n">
        <x:v>13005</x:v>
      </x:c>
    </x:row>
    <x:row r="489">
      <x:c r="A489" t="str">
        <x:v>CUAUHTEMOC</x:v>
      </x:c>
      <x:c r="B489" t="str">
        <x:v>Mujer</x:v>
      </x:c>
      <x:c r="C489" t="str">
        <x:v>b) 5 a 9 años</x:v>
      </x:c>
      <x:c r="D489" s="1" t="n">
        <x:v>13559</x:v>
      </x:c>
    </x:row>
    <x:row r="490">
      <x:c r="A490" t="str">
        <x:v>CUAUHTEMOC</x:v>
      </x:c>
      <x:c r="B490" t="str">
        <x:v>Mujer</x:v>
      </x:c>
      <x:c r="C490" t="str">
        <x:v>c) 10 a 14 años</x:v>
      </x:c>
      <x:c r="D490" s="1" t="n">
        <x:v>14690</x:v>
      </x:c>
    </x:row>
    <x:row r="491">
      <x:c r="A491" t="str">
        <x:v>CUAUHTEMOC</x:v>
      </x:c>
      <x:c r="B491" t="str">
        <x:v>Mujer</x:v>
      </x:c>
      <x:c r="C491" t="str">
        <x:v>d) 15 a 19 años</x:v>
      </x:c>
      <x:c r="D491" s="1" t="n">
        <x:v>15628</x:v>
      </x:c>
    </x:row>
    <x:row r="492">
      <x:c r="A492" t="str">
        <x:v>CUAUHTEMOC</x:v>
      </x:c>
      <x:c r="B492" t="str">
        <x:v>Mujer</x:v>
      </x:c>
      <x:c r="C492" t="str">
        <x:v>e) 20 a 24 años</x:v>
      </x:c>
      <x:c r="D492" s="1" t="n">
        <x:v>19252</x:v>
      </x:c>
    </x:row>
    <x:row r="493">
      <x:c r="A493" t="str">
        <x:v>CUAUHTEMOC</x:v>
      </x:c>
      <x:c r="B493" t="str">
        <x:v>Mujer</x:v>
      </x:c>
      <x:c r="C493" t="str">
        <x:v>f) 25 a 29 años</x:v>
      </x:c>
      <x:c r="D493" s="1" t="n">
        <x:v>25150</x:v>
      </x:c>
    </x:row>
    <x:row r="494">
      <x:c r="A494" t="str">
        <x:v>CUAUHTEMOC</x:v>
      </x:c>
      <x:c r="B494" t="str">
        <x:v>Mujer</x:v>
      </x:c>
      <x:c r="C494" t="str">
        <x:v>g) 30 a 34 años</x:v>
      </x:c>
      <x:c r="D494" s="1" t="n">
        <x:v>26745</x:v>
      </x:c>
    </x:row>
    <x:row r="495">
      <x:c r="A495" t="str">
        <x:v>CUAUHTEMOC</x:v>
      </x:c>
      <x:c r="B495" t="str">
        <x:v>Mujer</x:v>
      </x:c>
      <x:c r="C495" t="str">
        <x:v>h) 35 a 39 años</x:v>
      </x:c>
      <x:c r="D495" s="1" t="n">
        <x:v>24149</x:v>
      </x:c>
    </x:row>
    <x:row r="496">
      <x:c r="A496" t="str">
        <x:v>CUAUHTEMOC</x:v>
      </x:c>
      <x:c r="B496" t="str">
        <x:v>Mujer</x:v>
      </x:c>
      <x:c r="C496" t="str">
        <x:v>i) 40 a 44 años</x:v>
      </x:c>
      <x:c r="D496" s="1" t="n">
        <x:v>21015</x:v>
      </x:c>
    </x:row>
    <x:row r="497">
      <x:c r="A497" t="str">
        <x:v>CUAUHTEMOC</x:v>
      </x:c>
      <x:c r="B497" t="str">
        <x:v>Mujer</x:v>
      </x:c>
      <x:c r="C497" t="str">
        <x:v>j) 45 a 49 años</x:v>
      </x:c>
      <x:c r="D497" s="1" t="n">
        <x:v>20138</x:v>
      </x:c>
    </x:row>
    <x:row r="498">
      <x:c r="A498" t="str">
        <x:v>CUAUHTEMOC</x:v>
      </x:c>
      <x:c r="B498" t="str">
        <x:v>Mujer</x:v>
      </x:c>
      <x:c r="C498" t="str">
        <x:v>k) 50 a 54 años</x:v>
      </x:c>
      <x:c r="D498" s="1" t="n">
        <x:v>19334</x:v>
      </x:c>
    </x:row>
    <x:row r="499">
      <x:c r="A499" t="str">
        <x:v>CUAUHTEMOC</x:v>
      </x:c>
      <x:c r="B499" t="str">
        <x:v>Mujer</x:v>
      </x:c>
      <x:c r="C499" t="str">
        <x:v>l) 55 a 59 años</x:v>
      </x:c>
      <x:c r="D499" s="1" t="n">
        <x:v>17084</x:v>
      </x:c>
    </x:row>
    <x:row r="500">
      <x:c r="A500" t="str">
        <x:v>CUAUHTEMOC</x:v>
      </x:c>
      <x:c r="B500" t="str">
        <x:v>Mujer</x:v>
      </x:c>
      <x:c r="C500" t="str">
        <x:v>m) 60 a 64 años</x:v>
      </x:c>
      <x:c r="D500" s="1" t="n">
        <x:v>16742</x:v>
      </x:c>
    </x:row>
    <x:row r="501">
      <x:c r="A501" t="str">
        <x:v>CUAUHTEMOC</x:v>
      </x:c>
      <x:c r="B501" t="str">
        <x:v>Mujer</x:v>
      </x:c>
      <x:c r="C501" t="str">
        <x:v>n) 65 a 69 años</x:v>
      </x:c>
      <x:c r="D501" s="1" t="n">
        <x:v>12671</x:v>
      </x:c>
    </x:row>
    <x:row r="502">
      <x:c r="A502" t="str">
        <x:v>CUAUHTEMOC</x:v>
      </x:c>
      <x:c r="B502" t="str">
        <x:v>Mujer</x:v>
      </x:c>
      <x:c r="C502" t="str">
        <x:v>o) 70 a 74 años</x:v>
      </x:c>
      <x:c r="D502" s="1" t="n">
        <x:v>9884</x:v>
      </x:c>
    </x:row>
    <x:row r="503">
      <x:c r="A503" t="str">
        <x:v>CUAUHTEMOC</x:v>
      </x:c>
      <x:c r="B503" t="str">
        <x:v>Mujer</x:v>
      </x:c>
      <x:c r="C503" t="str">
        <x:v>p) 75 a 79 años</x:v>
      </x:c>
      <x:c r="D503" s="1" t="n">
        <x:v>6478</x:v>
      </x:c>
    </x:row>
    <x:row r="504">
      <x:c r="A504" t="str">
        <x:v>CUAUHTEMOC</x:v>
      </x:c>
      <x:c r="B504" t="str">
        <x:v>Mujer</x:v>
      </x:c>
      <x:c r="C504" t="str">
        <x:v>q) 80 a 84 años</x:v>
      </x:c>
      <x:c r="D504" s="1" t="n">
        <x:v>4863</x:v>
      </x:c>
    </x:row>
    <x:row r="505">
      <x:c r="A505" t="str">
        <x:v>CUAUHTEMOC</x:v>
      </x:c>
      <x:c r="B505" t="str">
        <x:v>Mujer</x:v>
      </x:c>
      <x:c r="C505" t="str">
        <x:v>r) 85 años y más</x:v>
      </x:c>
      <x:c r="D505" s="1" t="n">
        <x:v>4508</x:v>
      </x:c>
    </x:row>
    <x:row r="506">
      <x:c r="A506" t="str">
        <x:v>MIGUEL HIDALGO</x:v>
      </x:c>
      <x:c r="B506" t="str">
        <x:v>Hombre</x:v>
      </x:c>
      <x:c r="C506" t="str">
        <x:v>a) 0 a 4 años</x:v>
      </x:c>
      <x:c r="D506" s="1" t="n">
        <x:v>10208</x:v>
      </x:c>
    </x:row>
    <x:row r="507">
      <x:c r="A507" t="str">
        <x:v>MIGUEL HIDALGO</x:v>
      </x:c>
      <x:c r="B507" t="str">
        <x:v>Hombre</x:v>
      </x:c>
      <x:c r="C507" t="str">
        <x:v>b) 5 a 9 años</x:v>
      </x:c>
      <x:c r="D507" s="1" t="n">
        <x:v>10517</x:v>
      </x:c>
    </x:row>
    <x:row r="508">
      <x:c r="A508" t="str">
        <x:v>MIGUEL HIDALGO</x:v>
      </x:c>
      <x:c r="B508" t="str">
        <x:v>Hombre</x:v>
      </x:c>
      <x:c r="C508" t="str">
        <x:v>c) 10 a 14 años</x:v>
      </x:c>
      <x:c r="D508" s="1" t="n">
        <x:v>10998</x:v>
      </x:c>
    </x:row>
    <x:row r="509">
      <x:c r="A509" t="str">
        <x:v>MIGUEL HIDALGO</x:v>
      </x:c>
      <x:c r="B509" t="str">
        <x:v>Hombre</x:v>
      </x:c>
      <x:c r="C509" t="str">
        <x:v>d) 15 a 19 años</x:v>
      </x:c>
      <x:c r="D509" s="1" t="n">
        <x:v>11337</x:v>
      </x:c>
    </x:row>
    <x:row r="510">
      <x:c r="A510" t="str">
        <x:v>MIGUEL HIDALGO</x:v>
      </x:c>
      <x:c r="B510" t="str">
        <x:v>Hombre</x:v>
      </x:c>
      <x:c r="C510" t="str">
        <x:v>e) 20 a 24 años</x:v>
      </x:c>
      <x:c r="D510" s="1" t="n">
        <x:v>13256</x:v>
      </x:c>
    </x:row>
    <x:row r="511">
      <x:c r="A511" t="str">
        <x:v>MIGUEL HIDALGO</x:v>
      </x:c>
      <x:c r="B511" t="str">
        <x:v>Hombre</x:v>
      </x:c>
      <x:c r="C511" t="str">
        <x:v>f) 25 a 29 años</x:v>
      </x:c>
      <x:c r="D511" s="1" t="n">
        <x:v>16511</x:v>
      </x:c>
    </x:row>
    <x:row r="512">
      <x:c r="A512" t="str">
        <x:v>MIGUEL HIDALGO</x:v>
      </x:c>
      <x:c r="B512" t="str">
        <x:v>Hombre</x:v>
      </x:c>
      <x:c r="C512" t="str">
        <x:v>g) 30 a 34 años</x:v>
      </x:c>
      <x:c r="D512" s="1" t="n">
        <x:v>18650</x:v>
      </x:c>
    </x:row>
    <x:row r="513">
      <x:c r="A513" t="str">
        <x:v>MIGUEL HIDALGO</x:v>
      </x:c>
      <x:c r="B513" t="str">
        <x:v>Hombre</x:v>
      </x:c>
      <x:c r="C513" t="str">
        <x:v>h) 35 a 39 años</x:v>
      </x:c>
      <x:c r="D513" s="1" t="n">
        <x:v>17544</x:v>
      </x:c>
    </x:row>
    <x:row r="514">
      <x:c r="A514" t="str">
        <x:v>MIGUEL HIDALGO</x:v>
      </x:c>
      <x:c r="B514" t="str">
        <x:v>Hombre</x:v>
      </x:c>
      <x:c r="C514" t="str">
        <x:v>i) 40 a 44 años</x:v>
      </x:c>
      <x:c r="D514" s="1" t="n">
        <x:v>15640</x:v>
      </x:c>
    </x:row>
    <x:row r="515">
      <x:c r="A515" t="str">
        <x:v>MIGUEL HIDALGO</x:v>
      </x:c>
      <x:c r="B515" t="str">
        <x:v>Hombre</x:v>
      </x:c>
      <x:c r="C515" t="str">
        <x:v>j) 45 a 49 años</x:v>
      </x:c>
      <x:c r="D515" s="1" t="n">
        <x:v>14744</x:v>
      </x:c>
    </x:row>
    <x:row r="516">
      <x:c r="A516" t="str">
        <x:v>MIGUEL HIDALGO</x:v>
      </x:c>
      <x:c r="B516" t="str">
        <x:v>Hombre</x:v>
      </x:c>
      <x:c r="C516" t="str">
        <x:v>k) 50 a 54 años</x:v>
      </x:c>
      <x:c r="D516" s="1" t="n">
        <x:v>12846</x:v>
      </x:c>
    </x:row>
    <x:row r="517">
      <x:c r="A517" t="str">
        <x:v>MIGUEL HIDALGO</x:v>
      </x:c>
      <x:c r="B517" t="str">
        <x:v>Hombre</x:v>
      </x:c>
      <x:c r="C517" t="str">
        <x:v>l) 55 a 59 años</x:v>
      </x:c>
      <x:c r="D517" s="1" t="n">
        <x:v>10748</x:v>
      </x:c>
    </x:row>
    <x:row r="518">
      <x:c r="A518" t="str">
        <x:v>MIGUEL HIDALGO</x:v>
      </x:c>
      <x:c r="B518" t="str">
        <x:v>Hombre</x:v>
      </x:c>
      <x:c r="C518" t="str">
        <x:v>m) 60 a 64 años</x:v>
      </x:c>
      <x:c r="D518" s="1" t="n">
        <x:v>9198</x:v>
      </x:c>
    </x:row>
    <x:row r="519">
      <x:c r="A519" t="str">
        <x:v>MIGUEL HIDALGO</x:v>
      </x:c>
      <x:c r="B519" t="str">
        <x:v>Hombre</x:v>
      </x:c>
      <x:c r="C519" t="str">
        <x:v>n) 65 a 69 años</x:v>
      </x:c>
      <x:c r="D519" s="1" t="n">
        <x:v>7139</x:v>
      </x:c>
    </x:row>
    <x:row r="520">
      <x:c r="A520" t="str">
        <x:v>MIGUEL HIDALGO</x:v>
      </x:c>
      <x:c r="B520" t="str">
        <x:v>Hombre</x:v>
      </x:c>
      <x:c r="C520" t="str">
        <x:v>o) 70 a 74 años</x:v>
      </x:c>
      <x:c r="D520" s="1" t="n">
        <x:v>5254</x:v>
      </x:c>
    </x:row>
    <x:row r="521">
      <x:c r="A521" t="str">
        <x:v>MIGUEL HIDALGO</x:v>
      </x:c>
      <x:c r="B521" t="str">
        <x:v>Hombre</x:v>
      </x:c>
      <x:c r="C521" t="str">
        <x:v>p) 75 a 79 años</x:v>
      </x:c>
      <x:c r="D521" s="1" t="n">
        <x:v>3613</x:v>
      </x:c>
    </x:row>
    <x:row r="522">
      <x:c r="A522" t="str">
        <x:v>MIGUEL HIDALGO</x:v>
      </x:c>
      <x:c r="B522" t="str">
        <x:v>Hombre</x:v>
      </x:c>
      <x:c r="C522" t="str">
        <x:v>q) 80 a 84 años</x:v>
      </x:c>
      <x:c r="D522" s="1" t="n">
        <x:v>2342</x:v>
      </x:c>
    </x:row>
    <x:row r="523">
      <x:c r="A523" t="str">
        <x:v>MIGUEL HIDALGO</x:v>
      </x:c>
      <x:c r="B523" t="str">
        <x:v>Hombre</x:v>
      </x:c>
      <x:c r="C523" t="str">
        <x:v>r) 85 años y más</x:v>
      </x:c>
      <x:c r="D523" s="1" t="n">
        <x:v>1960</x:v>
      </x:c>
    </x:row>
    <x:row r="524">
      <x:c r="A524" t="str">
        <x:v>MIGUEL HIDALGO</x:v>
      </x:c>
      <x:c r="B524" t="str">
        <x:v>Mujer</x:v>
      </x:c>
      <x:c r="C524" t="str">
        <x:v>a) 0 a 4 años</x:v>
      </x:c>
      <x:c r="D524" s="1" t="n">
        <x:v>9771</x:v>
      </x:c>
    </x:row>
    <x:row r="525">
      <x:c r="A525" t="str">
        <x:v>MIGUEL HIDALGO</x:v>
      </x:c>
      <x:c r="B525" t="str">
        <x:v>Mujer</x:v>
      </x:c>
      <x:c r="C525" t="str">
        <x:v>b) 5 a 9 años</x:v>
      </x:c>
      <x:c r="D525" s="1" t="n">
        <x:v>10357</x:v>
      </x:c>
    </x:row>
    <x:row r="526">
      <x:c r="A526" t="str">
        <x:v>MIGUEL HIDALGO</x:v>
      </x:c>
      <x:c r="B526" t="str">
        <x:v>Mujer</x:v>
      </x:c>
      <x:c r="C526" t="str">
        <x:v>c) 10 a 14 años</x:v>
      </x:c>
      <x:c r="D526" s="1" t="n">
        <x:v>10644</x:v>
      </x:c>
    </x:row>
    <x:row r="527">
      <x:c r="A527" t="str">
        <x:v>MIGUEL HIDALGO</x:v>
      </x:c>
      <x:c r="B527" t="str">
        <x:v>Mujer</x:v>
      </x:c>
      <x:c r="C527" t="str">
        <x:v>d) 15 a 19 años</x:v>
      </x:c>
      <x:c r="D527" s="1" t="n">
        <x:v>11257</x:v>
      </x:c>
    </x:row>
    <x:row r="528">
      <x:c r="A528" t="str">
        <x:v>MIGUEL HIDALGO</x:v>
      </x:c>
      <x:c r="B528" t="str">
        <x:v>Mujer</x:v>
      </x:c>
      <x:c r="C528" t="str">
        <x:v>e) 20 a 24 años</x:v>
      </x:c>
      <x:c r="D528" s="1" t="n">
        <x:v>13788</x:v>
      </x:c>
    </x:row>
    <x:row r="529">
      <x:c r="A529" t="str">
        <x:v>MIGUEL HIDALGO</x:v>
      </x:c>
      <x:c r="B529" t="str">
        <x:v>Mujer</x:v>
      </x:c>
      <x:c r="C529" t="str">
        <x:v>f) 25 a 29 años</x:v>
      </x:c>
      <x:c r="D529" s="1" t="n">
        <x:v>18160</x:v>
      </x:c>
    </x:row>
    <x:row r="530">
      <x:c r="A530" t="str">
        <x:v>MIGUEL HIDALGO</x:v>
      </x:c>
      <x:c r="B530" t="str">
        <x:v>Mujer</x:v>
      </x:c>
      <x:c r="C530" t="str">
        <x:v>g) 30 a 34 años</x:v>
      </x:c>
      <x:c r="D530" s="1" t="n">
        <x:v>19953</x:v>
      </x:c>
    </x:row>
    <x:row r="531">
      <x:c r="A531" t="str">
        <x:v>MIGUEL HIDALGO</x:v>
      </x:c>
      <x:c r="B531" t="str">
        <x:v>Mujer</x:v>
      </x:c>
      <x:c r="C531" t="str">
        <x:v>h) 35 a 39 años</x:v>
      </x:c>
      <x:c r="D531" s="1" t="n">
        <x:v>18658</x:v>
      </x:c>
    </x:row>
    <x:row r="532">
      <x:c r="A532" t="str">
        <x:v>MIGUEL HIDALGO</x:v>
      </x:c>
      <x:c r="B532" t="str">
        <x:v>Mujer</x:v>
      </x:c>
      <x:c r="C532" t="str">
        <x:v>i) 40 a 44 años</x:v>
      </x:c>
      <x:c r="D532" s="1" t="n">
        <x:v>17508</x:v>
      </x:c>
    </x:row>
    <x:row r="533">
      <x:c r="A533" t="str">
        <x:v>MIGUEL HIDALGO</x:v>
      </x:c>
      <x:c r="B533" t="str">
        <x:v>Mujer</x:v>
      </x:c>
      <x:c r="C533" t="str">
        <x:v>j) 45 a 49 años</x:v>
      </x:c>
      <x:c r="D533" s="1" t="n">
        <x:v>16498</x:v>
      </x:c>
    </x:row>
    <x:row r="534">
      <x:c r="A534" t="str">
        <x:v>MIGUEL HIDALGO</x:v>
      </x:c>
      <x:c r="B534" t="str">
        <x:v>Mujer</x:v>
      </x:c>
      <x:c r="C534" t="str">
        <x:v>k) 50 a 54 años</x:v>
      </x:c>
      <x:c r="D534" s="1" t="n">
        <x:v>14962</x:v>
      </x:c>
    </x:row>
    <x:row r="535">
      <x:c r="A535" t="str">
        <x:v>MIGUEL HIDALGO</x:v>
      </x:c>
      <x:c r="B535" t="str">
        <x:v>Mujer</x:v>
      </x:c>
      <x:c r="C535" t="str">
        <x:v>l) 55 a 59 años</x:v>
      </x:c>
      <x:c r="D535" s="1" t="n">
        <x:v>12878</x:v>
      </x:c>
    </x:row>
    <x:row r="536">
      <x:c r="A536" t="str">
        <x:v>MIGUEL HIDALGO</x:v>
      </x:c>
      <x:c r="B536" t="str">
        <x:v>Mujer</x:v>
      </x:c>
      <x:c r="C536" t="str">
        <x:v>m) 60 a 64 años</x:v>
      </x:c>
      <x:c r="D536" s="1" t="n">
        <x:v>11730</x:v>
      </x:c>
    </x:row>
    <x:row r="537">
      <x:c r="A537" t="str">
        <x:v>MIGUEL HIDALGO</x:v>
      </x:c>
      <x:c r="B537" t="str">
        <x:v>Mujer</x:v>
      </x:c>
      <x:c r="C537" t="str">
        <x:v>n) 65 a 69 años</x:v>
      </x:c>
      <x:c r="D537" s="1" t="n">
        <x:v>9186</x:v>
      </x:c>
    </x:row>
    <x:row r="538">
      <x:c r="A538" t="str">
        <x:v>MIGUEL HIDALGO</x:v>
      </x:c>
      <x:c r="B538" t="str">
        <x:v>Mujer</x:v>
      </x:c>
      <x:c r="C538" t="str">
        <x:v>o) 70 a 74 años</x:v>
      </x:c>
      <x:c r="D538" s="1" t="n">
        <x:v>7429</x:v>
      </x:c>
    </x:row>
    <x:row r="539">
      <x:c r="A539" t="str">
        <x:v>MIGUEL HIDALGO</x:v>
      </x:c>
      <x:c r="B539" t="str">
        <x:v>Mujer</x:v>
      </x:c>
      <x:c r="C539" t="str">
        <x:v>p) 75 a 79 años</x:v>
      </x:c>
      <x:c r="D539" s="1" t="n">
        <x:v>5347</x:v>
      </x:c>
    </x:row>
    <x:row r="540">
      <x:c r="A540" t="str">
        <x:v>MIGUEL HIDALGO</x:v>
      </x:c>
      <x:c r="B540" t="str">
        <x:v>Mujer</x:v>
      </x:c>
      <x:c r="C540" t="str">
        <x:v>q) 80 a 84 años</x:v>
      </x:c>
      <x:c r="D540" s="1" t="n">
        <x:v>3837</x:v>
      </x:c>
    </x:row>
    <x:row r="541">
      <x:c r="A541" t="str">
        <x:v>MIGUEL HIDALGO</x:v>
      </x:c>
      <x:c r="B541" t="str">
        <x:v>Mujer</x:v>
      </x:c>
      <x:c r="C541" t="str">
        <x:v>r) 85 años y más</x:v>
      </x:c>
      <x:c r="D541" s="1" t="n">
        <x:v>4076</x:v>
      </x:c>
    </x:row>
    <x:row r="542">
      <x:c r="A542" t="str">
        <x:v>VENUSTIANO CARRANZA</x:v>
      </x:c>
      <x:c r="B542" t="str">
        <x:v>Hombre</x:v>
      </x:c>
      <x:c r="C542" t="str">
        <x:v>a) 0 a 4 años</x:v>
      </x:c>
      <x:c r="D542" s="1" t="n">
        <x:v>11659</x:v>
      </x:c>
    </x:row>
    <x:row r="543">
      <x:c r="A543" t="str">
        <x:v>VENUSTIANO CARRANZA</x:v>
      </x:c>
      <x:c r="B543" t="str">
        <x:v>Hombre</x:v>
      </x:c>
      <x:c r="C543" t="str">
        <x:v>b) 5 a 9 años</x:v>
      </x:c>
      <x:c r="D543" s="1" t="n">
        <x:v>13651</x:v>
      </x:c>
    </x:row>
    <x:row r="544">
      <x:c r="A544" t="str">
        <x:v>VENUSTIANO CARRANZA</x:v>
      </x:c>
      <x:c r="B544" t="str">
        <x:v>Hombre</x:v>
      </x:c>
      <x:c r="C544" t="str">
        <x:v>c) 10 a 14 años</x:v>
      </x:c>
      <x:c r="D544" s="1" t="n">
        <x:v>14407</x:v>
      </x:c>
    </x:row>
    <x:row r="545">
      <x:c r="A545" t="str">
        <x:v>VENUSTIANO CARRANZA</x:v>
      </x:c>
      <x:c r="B545" t="str">
        <x:v>Hombre</x:v>
      </x:c>
      <x:c r="C545" t="str">
        <x:v>d) 15 a 19 años</x:v>
      </x:c>
      <x:c r="D545" s="1" t="n">
        <x:v>15235</x:v>
      </x:c>
    </x:row>
    <x:row r="546">
      <x:c r="A546" t="str">
        <x:v>VENUSTIANO CARRANZA</x:v>
      </x:c>
      <x:c r="B546" t="str">
        <x:v>Hombre</x:v>
      </x:c>
      <x:c r="C546" t="str">
        <x:v>e) 20 a 24 años</x:v>
      </x:c>
      <x:c r="D546" s="1" t="n">
        <x:v>16603</x:v>
      </x:c>
    </x:row>
    <x:row r="547">
      <x:c r="A547" t="str">
        <x:v>VENUSTIANO CARRANZA</x:v>
      </x:c>
      <x:c r="B547" t="str">
        <x:v>Hombre</x:v>
      </x:c>
      <x:c r="C547" t="str">
        <x:v>f) 25 a 29 años</x:v>
      </x:c>
      <x:c r="D547" s="1" t="n">
        <x:v>17227</x:v>
      </x:c>
    </x:row>
    <x:row r="548">
      <x:c r="A548" t="str">
        <x:v>VENUSTIANO CARRANZA</x:v>
      </x:c>
      <x:c r="B548" t="str">
        <x:v>Hombre</x:v>
      </x:c>
      <x:c r="C548" t="str">
        <x:v>g) 30 a 34 años</x:v>
      </x:c>
      <x:c r="D548" s="1" t="n">
        <x:v>16711</x:v>
      </x:c>
    </x:row>
    <x:row r="549">
      <x:c r="A549" t="str">
        <x:v>VENUSTIANO CARRANZA</x:v>
      </x:c>
      <x:c r="B549" t="str">
        <x:v>Hombre</x:v>
      </x:c>
      <x:c r="C549" t="str">
        <x:v>h) 35 a 39 años</x:v>
      </x:c>
      <x:c r="D549" s="1" t="n">
        <x:v>15692</x:v>
      </x:c>
    </x:row>
    <x:row r="550">
      <x:c r="A550" t="str">
        <x:v>VENUSTIANO CARRANZA</x:v>
      </x:c>
      <x:c r="B550" t="str">
        <x:v>Hombre</x:v>
      </x:c>
      <x:c r="C550" t="str">
        <x:v>i) 40 a 44 años</x:v>
      </x:c>
      <x:c r="D550" s="1" t="n">
        <x:v>14622</x:v>
      </x:c>
    </x:row>
    <x:row r="551">
      <x:c r="A551" t="str">
        <x:v>VENUSTIANO CARRANZA</x:v>
      </x:c>
      <x:c r="B551" t="str">
        <x:v>Hombre</x:v>
      </x:c>
      <x:c r="C551" t="str">
        <x:v>j) 45 a 49 años</x:v>
      </x:c>
      <x:c r="D551" s="1" t="n">
        <x:v>14816</x:v>
      </x:c>
    </x:row>
    <x:row r="552">
      <x:c r="A552" t="str">
        <x:v>VENUSTIANO CARRANZA</x:v>
      </x:c>
      <x:c r="B552" t="str">
        <x:v>Hombre</x:v>
      </x:c>
      <x:c r="C552" t="str">
        <x:v>k) 50 a 54 años</x:v>
      </x:c>
      <x:c r="D552" s="1" t="n">
        <x:v>13966</x:v>
      </x:c>
    </x:row>
    <x:row r="553">
      <x:c r="A553" t="str">
        <x:v>VENUSTIANO CARRANZA</x:v>
      </x:c>
      <x:c r="B553" t="str">
        <x:v>Hombre</x:v>
      </x:c>
      <x:c r="C553" t="str">
        <x:v>l) 55 a 59 años</x:v>
      </x:c>
      <x:c r="D553" s="1" t="n">
        <x:v>12307</x:v>
      </x:c>
    </x:row>
    <x:row r="554">
      <x:c r="A554" t="str">
        <x:v>VENUSTIANO CARRANZA</x:v>
      </x:c>
      <x:c r="B554" t="str">
        <x:v>Hombre</x:v>
      </x:c>
      <x:c r="C554" t="str">
        <x:v>m) 60 a 64 años</x:v>
      </x:c>
      <x:c r="D554" s="1" t="n">
        <x:v>10937</x:v>
      </x:c>
    </x:row>
    <x:row r="555">
      <x:c r="A555" t="str">
        <x:v>VENUSTIANO CARRANZA</x:v>
      </x:c>
      <x:c r="B555" t="str">
        <x:v>Hombre</x:v>
      </x:c>
      <x:c r="C555" t="str">
        <x:v>n) 65 a 69 años</x:v>
      </x:c>
      <x:c r="D555" s="1" t="n">
        <x:v>7985</x:v>
      </x:c>
    </x:row>
    <x:row r="556">
      <x:c r="A556" t="str">
        <x:v>VENUSTIANO CARRANZA</x:v>
      </x:c>
      <x:c r="B556" t="str">
        <x:v>Hombre</x:v>
      </x:c>
      <x:c r="C556" t="str">
        <x:v>o) 70 a 74 años</x:v>
      </x:c>
      <x:c r="D556" s="1" t="n">
        <x:v>5765</x:v>
      </x:c>
    </x:row>
    <x:row r="557">
      <x:c r="A557" t="str">
        <x:v>VENUSTIANO CARRANZA</x:v>
      </x:c>
      <x:c r="B557" t="str">
        <x:v>Hombre</x:v>
      </x:c>
      <x:c r="C557" t="str">
        <x:v>p) 75 a 79 años</x:v>
      </x:c>
      <x:c r="D557" s="1" t="n">
        <x:v>3738</x:v>
      </x:c>
    </x:row>
    <x:row r="558">
      <x:c r="A558" t="str">
        <x:v>VENUSTIANO CARRANZA</x:v>
      </x:c>
      <x:c r="B558" t="str">
        <x:v>Hombre</x:v>
      </x:c>
      <x:c r="C558" t="str">
        <x:v>q) 80 a 84 años</x:v>
      </x:c>
      <x:c r="D558" s="1" t="n">
        <x:v>2488</x:v>
      </x:c>
    </x:row>
    <x:row r="559">
      <x:c r="A559" t="str">
        <x:v>VENUSTIANO CARRANZA</x:v>
      </x:c>
      <x:c r="B559" t="str">
        <x:v>Hombre</x:v>
      </x:c>
      <x:c r="C559" t="str">
        <x:v>r) 85 años y más</x:v>
      </x:c>
      <x:c r="D559" s="1" t="n">
        <x:v>2104</x:v>
      </x:c>
    </x:row>
    <x:row r="560">
      <x:c r="A560" t="str">
        <x:v>VENUSTIANO CARRANZA</x:v>
      </x:c>
      <x:c r="B560" t="str">
        <x:v>Mujer</x:v>
      </x:c>
      <x:c r="C560" t="str">
        <x:v>a) 0 a 4 años</x:v>
      </x:c>
      <x:c r="D560" s="1" t="n">
        <x:v>11488</x:v>
      </x:c>
    </x:row>
    <x:row r="561">
      <x:c r="A561" t="str">
        <x:v>VENUSTIANO CARRANZA</x:v>
      </x:c>
      <x:c r="B561" t="str">
        <x:v>Mujer</x:v>
      </x:c>
      <x:c r="C561" t="str">
        <x:v>b) 5 a 9 años</x:v>
      </x:c>
      <x:c r="D561" s="1" t="n">
        <x:v>13109</x:v>
      </x:c>
    </x:row>
    <x:row r="562">
      <x:c r="A562" t="str">
        <x:v>VENUSTIANO CARRANZA</x:v>
      </x:c>
      <x:c r="B562" t="str">
        <x:v>Mujer</x:v>
      </x:c>
      <x:c r="C562" t="str">
        <x:v>c) 10 a 14 años</x:v>
      </x:c>
      <x:c r="D562" s="1" t="n">
        <x:v>13767</x:v>
      </x:c>
    </x:row>
    <x:row r="563">
      <x:c r="A563" t="str">
        <x:v>VENUSTIANO CARRANZA</x:v>
      </x:c>
      <x:c r="B563" t="str">
        <x:v>Mujer</x:v>
      </x:c>
      <x:c r="C563" t="str">
        <x:v>d) 15 a 19 años</x:v>
      </x:c>
      <x:c r="D563" s="1" t="n">
        <x:v>14875</x:v>
      </x:c>
    </x:row>
    <x:row r="564">
      <x:c r="A564" t="str">
        <x:v>VENUSTIANO CARRANZA</x:v>
      </x:c>
      <x:c r="B564" t="str">
        <x:v>Mujer</x:v>
      </x:c>
      <x:c r="C564" t="str">
        <x:v>e) 20 a 24 años</x:v>
      </x:c>
      <x:c r="D564" s="1" t="n">
        <x:v>16380</x:v>
      </x:c>
    </x:row>
    <x:row r="565">
      <x:c r="A565" t="str">
        <x:v>VENUSTIANO CARRANZA</x:v>
      </x:c>
      <x:c r="B565" t="str">
        <x:v>Mujer</x:v>
      </x:c>
      <x:c r="C565" t="str">
        <x:v>f) 25 a 29 años</x:v>
      </x:c>
      <x:c r="D565" s="1" t="n">
        <x:v>17693</x:v>
      </x:c>
    </x:row>
    <x:row r="566">
      <x:c r="A566" t="str">
        <x:v>VENUSTIANO CARRANZA</x:v>
      </x:c>
      <x:c r="B566" t="str">
        <x:v>Mujer</x:v>
      </x:c>
      <x:c r="C566" t="str">
        <x:v>g) 30 a 34 años</x:v>
      </x:c>
      <x:c r="D566" s="1" t="n">
        <x:v>17730</x:v>
      </x:c>
    </x:row>
    <x:row r="567">
      <x:c r="A567" t="str">
        <x:v>VENUSTIANO CARRANZA</x:v>
      </x:c>
      <x:c r="B567" t="str">
        <x:v>Mujer</x:v>
      </x:c>
      <x:c r="C567" t="str">
        <x:v>h) 35 a 39 años</x:v>
      </x:c>
      <x:c r="D567" s="1" t="n">
        <x:v>17029</x:v>
      </x:c>
    </x:row>
    <x:row r="568">
      <x:c r="A568" t="str">
        <x:v>VENUSTIANO CARRANZA</x:v>
      </x:c>
      <x:c r="B568" t="str">
        <x:v>Mujer</x:v>
      </x:c>
      <x:c r="C568" t="str">
        <x:v>i) 40 a 44 años</x:v>
      </x:c>
      <x:c r="D568" s="1" t="n">
        <x:v>16594</x:v>
      </x:c>
    </x:row>
    <x:row r="569">
      <x:c r="A569" t="str">
        <x:v>VENUSTIANO CARRANZA</x:v>
      </x:c>
      <x:c r="B569" t="str">
        <x:v>Mujer</x:v>
      </x:c>
      <x:c r="C569" t="str">
        <x:v>j) 45 a 49 años</x:v>
      </x:c>
      <x:c r="D569" s="1" t="n">
        <x:v>17030</x:v>
      </x:c>
    </x:row>
    <x:row r="570">
      <x:c r="A570" t="str">
        <x:v>VENUSTIANO CARRANZA</x:v>
      </x:c>
      <x:c r="B570" t="str">
        <x:v>Mujer</x:v>
      </x:c>
      <x:c r="C570" t="str">
        <x:v>k) 50 a 54 años</x:v>
      </x:c>
      <x:c r="D570" s="1" t="n">
        <x:v>16838</x:v>
      </x:c>
    </x:row>
    <x:row r="571">
      <x:c r="A571" t="str">
        <x:v>VENUSTIANO CARRANZA</x:v>
      </x:c>
      <x:c r="B571" t="str">
        <x:v>Mujer</x:v>
      </x:c>
      <x:c r="C571" t="str">
        <x:v>l) 55 a 59 años</x:v>
      </x:c>
      <x:c r="D571" s="1" t="n">
        <x:v>14896</x:v>
      </x:c>
    </x:row>
    <x:row r="572">
      <x:c r="A572" t="str">
        <x:v>VENUSTIANO CARRANZA</x:v>
      </x:c>
      <x:c r="B572" t="str">
        <x:v>Mujer</x:v>
      </x:c>
      <x:c r="C572" t="str">
        <x:v>m) 60 a 64 años</x:v>
      </x:c>
      <x:c r="D572" s="1" t="n">
        <x:v>13793</x:v>
      </x:c>
    </x:row>
    <x:row r="573">
      <x:c r="A573" t="str">
        <x:v>VENUSTIANO CARRANZA</x:v>
      </x:c>
      <x:c r="B573" t="str">
        <x:v>Mujer</x:v>
      </x:c>
      <x:c r="C573" t="str">
        <x:v>n) 65 a 69 años</x:v>
      </x:c>
      <x:c r="D573" s="1" t="n">
        <x:v>10332</x:v>
      </x:c>
    </x:row>
    <x:row r="574">
      <x:c r="A574" t="str">
        <x:v>VENUSTIANO CARRANZA</x:v>
      </x:c>
      <x:c r="B574" t="str">
        <x:v>Mujer</x:v>
      </x:c>
      <x:c r="C574" t="str">
        <x:v>o) 70 a 74 años</x:v>
      </x:c>
      <x:c r="D574" s="1" t="n">
        <x:v>8072</x:v>
      </x:c>
    </x:row>
    <x:row r="575">
      <x:c r="A575" t="str">
        <x:v>VENUSTIANO CARRANZA</x:v>
      </x:c>
      <x:c r="B575" t="str">
        <x:v>Mujer</x:v>
      </x:c>
      <x:c r="C575" t="str">
        <x:v>p) 75 a 79 años</x:v>
      </x:c>
      <x:c r="D575" s="1" t="n">
        <x:v>5465</x:v>
      </x:c>
    </x:row>
    <x:row r="576">
      <x:c r="A576" t="str">
        <x:v>VENUSTIANO CARRANZA</x:v>
      </x:c>
      <x:c r="B576" t="str">
        <x:v>Mujer</x:v>
      </x:c>
      <x:c r="C576" t="str">
        <x:v>q) 80 a 84 años</x:v>
      </x:c>
      <x:c r="D576" s="1" t="n">
        <x:v>4184</x:v>
      </x:c>
    </x:row>
    <x:row r="577">
      <x:c r="A577" t="str">
        <x:v>VENUSTIANO CARRANZA</x:v>
      </x:c>
      <x:c r="B577" t="str">
        <x:v>Mujer</x:v>
      </x:c>
      <x:c r="C577" t="str">
        <x:v>r) 85 años y más</x:v>
      </x:c>
      <x:c r="D577" s="1" t="n">
        <x:v>4101</x:v>
      </x:c>
    </x:row>
  </x:sheetData>
  <x:pageMargins left="0.7" right="0.7" top="0.75" bottom="0.75" header="0.3" footer="0.3"/>
  <x:tableParts count="1">
    <x:tablePart xmlns:r="http://schemas.openxmlformats.org/officeDocument/2006/relationships" r:id="Rabe4adfea31143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13" hidden="0" customWidth="1"/>
    <x:col min="4" max="4" width="24" hidden="0" customWidth="1"/>
    <x:col min="5" max="5" width="15" hidden="0" customWidth="1"/>
    <x:col min="6" max="6" width="3" hidden="0" customWidth="1"/>
    <x:col min="7" max="7" width="15" hidden="0" customWidth="1"/>
    <x:col min="8" max="8" width="54" hidden="0" customWidth="1"/>
  </x:cols>
  <x:sheetData>
    <x:row r="1">
      <x:c r="A1" s="4" t="str">
        <x:v>alcaldia</x:v>
      </x:c>
      <x:c r="B1" s="4" t="str">
        <x:v>localidad</x:v>
      </x:c>
      <x:c r="C1" s="4" t="str">
        <x:v>sexo</x:v>
      </x:c>
      <x:c r="D1" s="4" t="str">
        <x:v>rango_edad</x:v>
      </x:c>
      <x:c r="E1" s="4" t="str">
        <x:v>poblacion</x:v>
      </x:c>
      <x:c r="F1" s="4"/>
      <x:c r="G1" s="3" t="str">
        <x:v>Fuente</x:v>
      </x:c>
      <x:c r="H1" s="3" t="str">
        <x:v>Detalle</x:v>
      </x:c>
    </x:row>
    <x:row r="2">
      <x:c r="A2" s="4" t="str">
        <x:v>AZCAPOTZALCO</x:v>
      </x:c>
      <x:c r="B2" s="4" t="str">
        <x:v>Azcapotzalco</x:v>
      </x:c>
      <x:c r="C2" s="4" t="str">
        <x:v>Hombre</x:v>
      </x:c>
      <x:c r="D2" s="4" t="str">
        <x:v>a) 0 a 4 años</x:v>
      </x:c>
      <x:c r="E2" s="5" t="n">
        <x:v>10794</x:v>
      </x:c>
      <x:c r="F2" s="4"/>
      <x:c r="G2" s="4" t="str">
        <x:v>Archivo</x:v>
      </x:c>
      <x:c r="H2" s="4" t="str">
        <x:v>ed0a7cd3-2ed7-4cc6-b318-10471a0796f6(1).csv</x:v>
      </x:c>
    </x:row>
    <x:row r="3">
      <x:c r="A3" s="4" t="str">
        <x:v>AZCAPOTZALCO</x:v>
      </x:c>
      <x:c r="B3" s="4" t="str">
        <x:v>Azcapotzalco</x:v>
      </x:c>
      <x:c r="C3" s="4" t="str">
        <x:v>Hombre</x:v>
      </x:c>
      <x:c r="D3" s="4" t="str">
        <x:v>b) 5 a 9 años</x:v>
      </x:c>
      <x:c r="E3" s="5" t="n">
        <x:v>11950</x:v>
      </x:c>
      <x:c r="F3" s="4"/>
      <x:c r="G3" s="4" t="str">
        <x:v>Periodo</x:v>
      </x:c>
      <x:c r="H3" s="4" t="str">
        <x:v>Censo 2020, indicado por la usuaria</x:v>
      </x:c>
    </x:row>
    <x:row r="4">
      <x:c r="A4" s="4" t="str">
        <x:v>AZCAPOTZALCO</x:v>
      </x:c>
      <x:c r="B4" s="4" t="str">
        <x:v>Azcapotzalco</x:v>
      </x:c>
      <x:c r="C4" s="4" t="str">
        <x:v>Hombre</x:v>
      </x:c>
      <x:c r="D4" s="4" t="str">
        <x:v>c) 10 a 14 años</x:v>
      </x:c>
      <x:c r="E4" s="5" t="n">
        <x:v>13219</x:v>
      </x:c>
      <x:c r="F4" s="4"/>
      <x:c r="G4" s="4" t="str">
        <x:v>Uso</x:v>
      </x:c>
      <x:c r="H4" s="4" t="str">
        <x:v>Fuente complementaria. Su suma no coincide con el agregado por alcaldía.</x:v>
      </x:c>
    </x:row>
    <x:row r="5">
      <x:c r="A5" t="str">
        <x:v>AZCAPOTZALCO</x:v>
      </x:c>
      <x:c r="B5" t="str">
        <x:v>Azcapotzalco</x:v>
      </x:c>
      <x:c r="C5" t="str">
        <x:v>Hombre</x:v>
      </x:c>
      <x:c r="D5" t="str">
        <x:v>d) 15 a 19 años</x:v>
      </x:c>
      <x:c r="E5" s="1" t="n">
        <x:v>14272</x:v>
      </x:c>
    </x:row>
    <x:row r="6">
      <x:c r="A6" t="str">
        <x:v>AZCAPOTZALCO</x:v>
      </x:c>
      <x:c r="B6" t="str">
        <x:v>Azcapotzalco</x:v>
      </x:c>
      <x:c r="C6" t="str">
        <x:v>Hombre</x:v>
      </x:c>
      <x:c r="D6" t="str">
        <x:v>e) 20 a 24 años</x:v>
      </x:c>
      <x:c r="E6" s="1" t="n">
        <x:v>15895</x:v>
      </x:c>
    </x:row>
    <x:row r="7">
      <x:c r="A7" t="str">
        <x:v>AZCAPOTZALCO</x:v>
      </x:c>
      <x:c r="B7" t="str">
        <x:v>Azcapotzalco</x:v>
      </x:c>
      <x:c r="C7" t="str">
        <x:v>Hombre</x:v>
      </x:c>
      <x:c r="D7" t="str">
        <x:v>f) 25 a 29 años</x:v>
      </x:c>
      <x:c r="E7" s="1" t="n">
        <x:v>16899</x:v>
      </x:c>
    </x:row>
    <x:row r="8">
      <x:c r="A8" t="str">
        <x:v>AZCAPOTZALCO</x:v>
      </x:c>
      <x:c r="B8" t="str">
        <x:v>Azcapotzalco</x:v>
      </x:c>
      <x:c r="C8" t="str">
        <x:v>Hombre</x:v>
      </x:c>
      <x:c r="D8" t="str">
        <x:v>g) 30 a 34 años</x:v>
      </x:c>
      <x:c r="E8" s="1" t="n">
        <x:v>17047</x:v>
      </x:c>
    </x:row>
    <x:row r="9">
      <x:c r="A9" t="str">
        <x:v>AZCAPOTZALCO</x:v>
      </x:c>
      <x:c r="B9" t="str">
        <x:v>Azcapotzalco</x:v>
      </x:c>
      <x:c r="C9" t="str">
        <x:v>Hombre</x:v>
      </x:c>
      <x:c r="D9" t="str">
        <x:v>h) 35 a 39 años</x:v>
      </x:c>
      <x:c r="E9" s="1" t="n">
        <x:v>15868</x:v>
      </x:c>
    </x:row>
    <x:row r="10">
      <x:c r="A10" t="str">
        <x:v>AZCAPOTZALCO</x:v>
      </x:c>
      <x:c r="B10" t="str">
        <x:v>Azcapotzalco</x:v>
      </x:c>
      <x:c r="C10" t="str">
        <x:v>Hombre</x:v>
      </x:c>
      <x:c r="D10" t="str">
        <x:v>i) 40 a 44 años</x:v>
      </x:c>
      <x:c r="E10" s="1" t="n">
        <x:v>14624</x:v>
      </x:c>
    </x:row>
    <x:row r="11">
      <x:c r="A11" t="str">
        <x:v>AZCAPOTZALCO</x:v>
      </x:c>
      <x:c r="B11" t="str">
        <x:v>Azcapotzalco</x:v>
      </x:c>
      <x:c r="C11" t="str">
        <x:v>Hombre</x:v>
      </x:c>
      <x:c r="D11" t="str">
        <x:v>j) 45 a 49 años</x:v>
      </x:c>
      <x:c r="E11" s="1" t="n">
        <x:v>14810</x:v>
      </x:c>
    </x:row>
    <x:row r="12">
      <x:c r="A12" t="str">
        <x:v>AZCAPOTZALCO</x:v>
      </x:c>
      <x:c r="B12" t="str">
        <x:v>Azcapotzalco</x:v>
      </x:c>
      <x:c r="C12" t="str">
        <x:v>Hombre</x:v>
      </x:c>
      <x:c r="D12" t="str">
        <x:v>k) 50 a 54 años</x:v>
      </x:c>
      <x:c r="E12" s="1" t="n">
        <x:v>14313</x:v>
      </x:c>
    </x:row>
    <x:row r="13">
      <x:c r="A13" t="str">
        <x:v>AZCAPOTZALCO</x:v>
      </x:c>
      <x:c r="B13" t="str">
        <x:v>Azcapotzalco</x:v>
      </x:c>
      <x:c r="C13" t="str">
        <x:v>Hombre</x:v>
      </x:c>
      <x:c r="D13" t="str">
        <x:v>l) 55 a 59 años</x:v>
      </x:c>
      <x:c r="E13" s="1" t="n">
        <x:v>11992</x:v>
      </x:c>
    </x:row>
    <x:row r="14">
      <x:c r="A14" t="str">
        <x:v>AZCAPOTZALCO</x:v>
      </x:c>
      <x:c r="B14" t="str">
        <x:v>Azcapotzalco</x:v>
      </x:c>
      <x:c r="C14" t="str">
        <x:v>Hombre</x:v>
      </x:c>
      <x:c r="D14" t="str">
        <x:v>m) 60 a 64 años</x:v>
      </x:c>
      <x:c r="E14" s="1" t="n">
        <x:v>10497</x:v>
      </x:c>
    </x:row>
    <x:row r="15">
      <x:c r="A15" t="str">
        <x:v>AZCAPOTZALCO</x:v>
      </x:c>
      <x:c r="B15" t="str">
        <x:v>Azcapotzalco</x:v>
      </x:c>
      <x:c r="C15" t="str">
        <x:v>Hombre</x:v>
      </x:c>
      <x:c r="D15" t="str">
        <x:v>n) 65 a 69 años</x:v>
      </x:c>
      <x:c r="E15" s="1" t="n">
        <x:v>7906</x:v>
      </x:c>
    </x:row>
    <x:row r="16">
      <x:c r="A16" t="str">
        <x:v>AZCAPOTZALCO</x:v>
      </x:c>
      <x:c r="B16" t="str">
        <x:v>Azcapotzalco</x:v>
      </x:c>
      <x:c r="C16" t="str">
        <x:v>Hombre</x:v>
      </x:c>
      <x:c r="D16" t="str">
        <x:v>o) 70 a 74 años</x:v>
      </x:c>
      <x:c r="E16" s="1" t="n">
        <x:v>5925</x:v>
      </x:c>
    </x:row>
    <x:row r="17">
      <x:c r="A17" t="str">
        <x:v>AZCAPOTZALCO</x:v>
      </x:c>
      <x:c r="B17" t="str">
        <x:v>Azcapotzalco</x:v>
      </x:c>
      <x:c r="C17" t="str">
        <x:v>Hombre</x:v>
      </x:c>
      <x:c r="D17" t="str">
        <x:v>p) 75 a 79 años</x:v>
      </x:c>
      <x:c r="E17" s="1" t="n">
        <x:v>3966</x:v>
      </x:c>
    </x:row>
    <x:row r="18">
      <x:c r="A18" t="str">
        <x:v>AZCAPOTZALCO</x:v>
      </x:c>
      <x:c r="B18" t="str">
        <x:v>Azcapotzalco</x:v>
      </x:c>
      <x:c r="C18" t="str">
        <x:v>Hombre</x:v>
      </x:c>
      <x:c r="D18" t="str">
        <x:v>q) 80 a 84 años</x:v>
      </x:c>
      <x:c r="E18" s="1" t="n">
        <x:v>2628</x:v>
      </x:c>
    </x:row>
    <x:row r="19">
      <x:c r="A19" t="str">
        <x:v>AZCAPOTZALCO</x:v>
      </x:c>
      <x:c r="B19" t="str">
        <x:v>Azcapotzalco</x:v>
      </x:c>
      <x:c r="C19" t="str">
        <x:v>Hombre</x:v>
      </x:c>
      <x:c r="D19" t="str">
        <x:v>r) 85 años y más</x:v>
      </x:c>
      <x:c r="E19" s="1" t="n">
        <x:v>2163</x:v>
      </x:c>
    </x:row>
    <x:row r="20">
      <x:c r="A20" t="str">
        <x:v>AZCAPOTZALCO</x:v>
      </x:c>
      <x:c r="B20" t="str">
        <x:v>Azcapotzalco</x:v>
      </x:c>
      <x:c r="C20" t="str">
        <x:v>Mujer</x:v>
      </x:c>
      <x:c r="D20" t="str">
        <x:v>a) 0 a 4 años</x:v>
      </x:c>
      <x:c r="E20" s="1" t="n">
        <x:v>10266</x:v>
      </x:c>
    </x:row>
    <x:row r="21">
      <x:c r="A21" t="str">
        <x:v>AZCAPOTZALCO</x:v>
      </x:c>
      <x:c r="B21" t="str">
        <x:v>Azcapotzalco</x:v>
      </x:c>
      <x:c r="C21" t="str">
        <x:v>Mujer</x:v>
      </x:c>
      <x:c r="D21" t="str">
        <x:v>b) 5 a 9 años</x:v>
      </x:c>
      <x:c r="E21" s="1" t="n">
        <x:v>11470</x:v>
      </x:c>
    </x:row>
    <x:row r="22">
      <x:c r="A22" t="str">
        <x:v>AZCAPOTZALCO</x:v>
      </x:c>
      <x:c r="B22" t="str">
        <x:v>Azcapotzalco</x:v>
      </x:c>
      <x:c r="C22" t="str">
        <x:v>Mujer</x:v>
      </x:c>
      <x:c r="D22" t="str">
        <x:v>c) 10 a 14 años</x:v>
      </x:c>
      <x:c r="E22" s="1" t="n">
        <x:v>12667</x:v>
      </x:c>
    </x:row>
    <x:row r="23">
      <x:c r="A23" t="str">
        <x:v>AZCAPOTZALCO</x:v>
      </x:c>
      <x:c r="B23" t="str">
        <x:v>Azcapotzalco</x:v>
      </x:c>
      <x:c r="C23" t="str">
        <x:v>Mujer</x:v>
      </x:c>
      <x:c r="D23" t="str">
        <x:v>d) 15 a 19 años</x:v>
      </x:c>
      <x:c r="E23" s="1" t="n">
        <x:v>13711</x:v>
      </x:c>
    </x:row>
    <x:row r="24">
      <x:c r="A24" t="str">
        <x:v>AZCAPOTZALCO</x:v>
      </x:c>
      <x:c r="B24" t="str">
        <x:v>Azcapotzalco</x:v>
      </x:c>
      <x:c r="C24" t="str">
        <x:v>Mujer</x:v>
      </x:c>
      <x:c r="D24" t="str">
        <x:v>e) 20 a 24 años</x:v>
      </x:c>
      <x:c r="E24" s="1" t="n">
        <x:v>15561</x:v>
      </x:c>
    </x:row>
    <x:row r="25">
      <x:c r="A25" t="str">
        <x:v>AZCAPOTZALCO</x:v>
      </x:c>
      <x:c r="B25" t="str">
        <x:v>Azcapotzalco</x:v>
      </x:c>
      <x:c r="C25" t="str">
        <x:v>Mujer</x:v>
      </x:c>
      <x:c r="D25" t="str">
        <x:v>f) 25 a 29 años</x:v>
      </x:c>
      <x:c r="E25" s="1" t="n">
        <x:v>17506</x:v>
      </x:c>
    </x:row>
    <x:row r="26">
      <x:c r="A26" t="str">
        <x:v>AZCAPOTZALCO</x:v>
      </x:c>
      <x:c r="B26" t="str">
        <x:v>Azcapotzalco</x:v>
      </x:c>
      <x:c r="C26" t="str">
        <x:v>Mujer</x:v>
      </x:c>
      <x:c r="D26" t="str">
        <x:v>g) 30 a 34 años</x:v>
      </x:c>
      <x:c r="E26" s="1" t="n">
        <x:v>17858</x:v>
      </x:c>
    </x:row>
    <x:row r="27">
      <x:c r="A27" t="str">
        <x:v>AZCAPOTZALCO</x:v>
      </x:c>
      <x:c r="B27" t="str">
        <x:v>Azcapotzalco</x:v>
      </x:c>
      <x:c r="C27" t="str">
        <x:v>Mujer</x:v>
      </x:c>
      <x:c r="D27" t="str">
        <x:v>h) 35 a 39 años</x:v>
      </x:c>
      <x:c r="E27" s="1" t="n">
        <x:v>17294</x:v>
      </x:c>
    </x:row>
    <x:row r="28">
      <x:c r="A28" t="str">
        <x:v>AZCAPOTZALCO</x:v>
      </x:c>
      <x:c r="B28" t="str">
        <x:v>Azcapotzalco</x:v>
      </x:c>
      <x:c r="C28" t="str">
        <x:v>Mujer</x:v>
      </x:c>
      <x:c r="D28" t="str">
        <x:v>i) 40 a 44 años</x:v>
      </x:c>
      <x:c r="E28" s="1" t="n">
        <x:v>16621</x:v>
      </x:c>
    </x:row>
    <x:row r="29">
      <x:c r="A29" t="str">
        <x:v>AZCAPOTZALCO</x:v>
      </x:c>
      <x:c r="B29" t="str">
        <x:v>Azcapotzalco</x:v>
      </x:c>
      <x:c r="C29" t="str">
        <x:v>Mujer</x:v>
      </x:c>
      <x:c r="D29" t="str">
        <x:v>j) 45 a 49 años</x:v>
      </x:c>
      <x:c r="E29" s="1" t="n">
        <x:v>17049</x:v>
      </x:c>
    </x:row>
    <x:row r="30">
      <x:c r="A30" t="str">
        <x:v>AZCAPOTZALCO</x:v>
      </x:c>
      <x:c r="B30" t="str">
        <x:v>Azcapotzalco</x:v>
      </x:c>
      <x:c r="C30" t="str">
        <x:v>Mujer</x:v>
      </x:c>
      <x:c r="D30" t="str">
        <x:v>k) 50 a 54 años</x:v>
      </x:c>
      <x:c r="E30" s="1" t="n">
        <x:v>16822</x:v>
      </x:c>
    </x:row>
    <x:row r="31">
      <x:c r="A31" t="str">
        <x:v>AZCAPOTZALCO</x:v>
      </x:c>
      <x:c r="B31" t="str">
        <x:v>Azcapotzalco</x:v>
      </x:c>
      <x:c r="C31" t="str">
        <x:v>Mujer</x:v>
      </x:c>
      <x:c r="D31" t="str">
        <x:v>l) 55 a 59 años</x:v>
      </x:c>
      <x:c r="E31" s="1" t="n">
        <x:v>14682</x:v>
      </x:c>
    </x:row>
    <x:row r="32">
      <x:c r="A32" t="str">
        <x:v>AZCAPOTZALCO</x:v>
      </x:c>
      <x:c r="B32" t="str">
        <x:v>Azcapotzalco</x:v>
      </x:c>
      <x:c r="C32" t="str">
        <x:v>Mujer</x:v>
      </x:c>
      <x:c r="D32" t="str">
        <x:v>m) 60 a 64 años</x:v>
      </x:c>
      <x:c r="E32" s="1" t="n">
        <x:v>13290</x:v>
      </x:c>
    </x:row>
    <x:row r="33">
      <x:c r="A33" t="str">
        <x:v>AZCAPOTZALCO</x:v>
      </x:c>
      <x:c r="B33" t="str">
        <x:v>Azcapotzalco</x:v>
      </x:c>
      <x:c r="C33" t="str">
        <x:v>Mujer</x:v>
      </x:c>
      <x:c r="D33" t="str">
        <x:v>n) 65 a 69 años</x:v>
      </x:c>
      <x:c r="E33" s="1" t="n">
        <x:v>10153</x:v>
      </x:c>
    </x:row>
    <x:row r="34">
      <x:c r="A34" t="str">
        <x:v>AZCAPOTZALCO</x:v>
      </x:c>
      <x:c r="B34" t="str">
        <x:v>Azcapotzalco</x:v>
      </x:c>
      <x:c r="C34" t="str">
        <x:v>Mujer</x:v>
      </x:c>
      <x:c r="D34" t="str">
        <x:v>o) 70 a 74 años</x:v>
      </x:c>
      <x:c r="E34" s="1" t="n">
        <x:v>8307</x:v>
      </x:c>
    </x:row>
    <x:row r="35">
      <x:c r="A35" t="str">
        <x:v>AZCAPOTZALCO</x:v>
      </x:c>
      <x:c r="B35" t="str">
        <x:v>Azcapotzalco</x:v>
      </x:c>
      <x:c r="C35" t="str">
        <x:v>Mujer</x:v>
      </x:c>
      <x:c r="D35" t="str">
        <x:v>p) 75 a 79 años</x:v>
      </x:c>
      <x:c r="E35" s="1" t="n">
        <x:v>5665</x:v>
      </x:c>
    </x:row>
    <x:row r="36">
      <x:c r="A36" t="str">
        <x:v>AZCAPOTZALCO</x:v>
      </x:c>
      <x:c r="B36" t="str">
        <x:v>Azcapotzalco</x:v>
      </x:c>
      <x:c r="C36" t="str">
        <x:v>Mujer</x:v>
      </x:c>
      <x:c r="D36" t="str">
        <x:v>q) 80 a 84 años</x:v>
      </x:c>
      <x:c r="E36" s="1" t="n">
        <x:v>4217</x:v>
      </x:c>
    </x:row>
    <x:row r="37">
      <x:c r="A37" t="str">
        <x:v>AZCAPOTZALCO</x:v>
      </x:c>
      <x:c r="B37" t="str">
        <x:v>Azcapotzalco</x:v>
      </x:c>
      <x:c r="C37" t="str">
        <x:v>Mujer</x:v>
      </x:c>
      <x:c r="D37" t="str">
        <x:v>r) 85 años y más</x:v>
      </x:c>
      <x:c r="E37" s="1" t="n">
        <x:v>3933</x:v>
      </x:c>
    </x:row>
    <x:row r="38">
      <x:c r="A38" t="str">
        <x:v>COYOACAN</x:v>
      </x:c>
      <x:c r="B38" t="str">
        <x:v>Coyoacán</x:v>
      </x:c>
      <x:c r="C38" t="str">
        <x:v>Hombre</x:v>
      </x:c>
      <x:c r="D38" t="str">
        <x:v>a) 0 a 4 años</x:v>
      </x:c>
      <x:c r="E38" s="1" t="n">
        <x:v>13518</x:v>
      </x:c>
    </x:row>
    <x:row r="39">
      <x:c r="A39" t="str">
        <x:v>COYOACAN</x:v>
      </x:c>
      <x:c r="B39" t="str">
        <x:v>Coyoacán</x:v>
      </x:c>
      <x:c r="C39" t="str">
        <x:v>Hombre</x:v>
      </x:c>
      <x:c r="D39" t="str">
        <x:v>b) 5 a 9 años</x:v>
      </x:c>
      <x:c r="E39" s="1" t="n">
        <x:v>15435</x:v>
      </x:c>
    </x:row>
    <x:row r="40">
      <x:c r="A40" t="str">
        <x:v>COYOACAN</x:v>
      </x:c>
      <x:c r="B40" t="str">
        <x:v>Coyoacán</x:v>
      </x:c>
      <x:c r="C40" t="str">
        <x:v>Hombre</x:v>
      </x:c>
      <x:c r="D40" t="str">
        <x:v>c) 10 a 14 años</x:v>
      </x:c>
      <x:c r="E40" s="1" t="n">
        <x:v>17531</x:v>
      </x:c>
    </x:row>
    <x:row r="41">
      <x:c r="A41" t="str">
        <x:v>COYOACAN</x:v>
      </x:c>
      <x:c r="B41" t="str">
        <x:v>Coyoacán</x:v>
      </x:c>
      <x:c r="C41" t="str">
        <x:v>Hombre</x:v>
      </x:c>
      <x:c r="D41" t="str">
        <x:v>d) 15 a 19 años</x:v>
      </x:c>
      <x:c r="E41" s="1" t="n">
        <x:v>20091</x:v>
      </x:c>
    </x:row>
    <x:row r="42">
      <x:c r="A42" t="str">
        <x:v>COYOACAN</x:v>
      </x:c>
      <x:c r="B42" t="str">
        <x:v>Coyoacán</x:v>
      </x:c>
      <x:c r="C42" t="str">
        <x:v>Hombre</x:v>
      </x:c>
      <x:c r="D42" t="str">
        <x:v>e) 20 a 24 años</x:v>
      </x:c>
      <x:c r="E42" s="1" t="n">
        <x:v>23667</x:v>
      </x:c>
    </x:row>
    <x:row r="43">
      <x:c r="A43" t="str">
        <x:v>COYOACAN</x:v>
      </x:c>
      <x:c r="B43" t="str">
        <x:v>Coyoacán</x:v>
      </x:c>
      <x:c r="C43" t="str">
        <x:v>Hombre</x:v>
      </x:c>
      <x:c r="D43" t="str">
        <x:v>f) 25 a 29 años</x:v>
      </x:c>
      <x:c r="E43" s="1" t="n">
        <x:v>23879</x:v>
      </x:c>
    </x:row>
    <x:row r="44">
      <x:c r="A44" t="str">
        <x:v>COYOACAN</x:v>
      </x:c>
      <x:c r="B44" t="str">
        <x:v>Coyoacán</x:v>
      </x:c>
      <x:c r="C44" t="str">
        <x:v>Hombre</x:v>
      </x:c>
      <x:c r="D44" t="str">
        <x:v>g) 30 a 34 años</x:v>
      </x:c>
      <x:c r="E44" s="1" t="n">
        <x:v>22251</x:v>
      </x:c>
    </x:row>
    <x:row r="45">
      <x:c r="A45" t="str">
        <x:v>COYOACAN</x:v>
      </x:c>
      <x:c r="B45" t="str">
        <x:v>Coyoacán</x:v>
      </x:c>
      <x:c r="C45" t="str">
        <x:v>Hombre</x:v>
      </x:c>
      <x:c r="D45" t="str">
        <x:v>h) 35 a 39 años</x:v>
      </x:c>
      <x:c r="E45" s="1" t="n">
        <x:v>21119</x:v>
      </x:c>
    </x:row>
    <x:row r="46">
      <x:c r="A46" t="str">
        <x:v>COYOACAN</x:v>
      </x:c>
      <x:c r="B46" t="str">
        <x:v>Coyoacán</x:v>
      </x:c>
      <x:c r="C46" t="str">
        <x:v>Hombre</x:v>
      </x:c>
      <x:c r="D46" t="str">
        <x:v>i) 40 a 44 años</x:v>
      </x:c>
      <x:c r="E46" s="1" t="n">
        <x:v>20884</x:v>
      </x:c>
    </x:row>
    <x:row r="47">
      <x:c r="A47" t="str">
        <x:v>COYOACAN</x:v>
      </x:c>
      <x:c r="B47" t="str">
        <x:v>Coyoacán</x:v>
      </x:c>
      <x:c r="C47" t="str">
        <x:v>Hombre</x:v>
      </x:c>
      <x:c r="D47" t="str">
        <x:v>j) 45 a 49 años</x:v>
      </x:c>
      <x:c r="E47" s="1" t="n">
        <x:v>21315</x:v>
      </x:c>
    </x:row>
    <x:row r="48">
      <x:c r="A48" t="str">
        <x:v>COYOACAN</x:v>
      </x:c>
      <x:c r="B48" t="str">
        <x:v>Coyoacán</x:v>
      </x:c>
      <x:c r="C48" t="str">
        <x:v>Hombre</x:v>
      </x:c>
      <x:c r="D48" t="str">
        <x:v>k) 50 a 54 años</x:v>
      </x:c>
      <x:c r="E48" s="1" t="n">
        <x:v>19628</x:v>
      </x:c>
    </x:row>
    <x:row r="49">
      <x:c r="A49" t="str">
        <x:v>COYOACAN</x:v>
      </x:c>
      <x:c r="B49" t="str">
        <x:v>Coyoacán</x:v>
      </x:c>
      <x:c r="C49" t="str">
        <x:v>Hombre</x:v>
      </x:c>
      <x:c r="D49" t="str">
        <x:v>l) 55 a 59 años</x:v>
      </x:c>
      <x:c r="E49" s="1" t="n">
        <x:v>16722</x:v>
      </x:c>
    </x:row>
    <x:row r="50">
      <x:c r="A50" t="str">
        <x:v>COYOACAN</x:v>
      </x:c>
      <x:c r="B50" t="str">
        <x:v>Coyoacán</x:v>
      </x:c>
      <x:c r="C50" t="str">
        <x:v>Hombre</x:v>
      </x:c>
      <x:c r="D50" t="str">
        <x:v>m) 60 a 64 años</x:v>
      </x:c>
      <x:c r="E50" s="1" t="n">
        <x:v>15447</x:v>
      </x:c>
    </x:row>
    <x:row r="51">
      <x:c r="A51" t="str">
        <x:v>COYOACAN</x:v>
      </x:c>
      <x:c r="B51" t="str">
        <x:v>Coyoacán</x:v>
      </x:c>
      <x:c r="C51" t="str">
        <x:v>Hombre</x:v>
      </x:c>
      <x:c r="D51" t="str">
        <x:v>n) 65 a 69 años</x:v>
      </x:c>
      <x:c r="E51" s="1" t="n">
        <x:v>13010</x:v>
      </x:c>
    </x:row>
    <x:row r="52">
      <x:c r="A52" t="str">
        <x:v>COYOACAN</x:v>
      </x:c>
      <x:c r="B52" t="str">
        <x:v>Coyoacán</x:v>
      </x:c>
      <x:c r="C52" t="str">
        <x:v>Hombre</x:v>
      </x:c>
      <x:c r="D52" t="str">
        <x:v>o) 70 a 74 años</x:v>
      </x:c>
      <x:c r="E52" s="1" t="n">
        <x:v>10308</x:v>
      </x:c>
    </x:row>
    <x:row r="53">
      <x:c r="A53" t="str">
        <x:v>COYOACAN</x:v>
      </x:c>
      <x:c r="B53" t="str">
        <x:v>Coyoacán</x:v>
      </x:c>
      <x:c r="C53" t="str">
        <x:v>Hombre</x:v>
      </x:c>
      <x:c r="D53" t="str">
        <x:v>p) 75 a 79 años</x:v>
      </x:c>
      <x:c r="E53" s="1" t="n">
        <x:v>6748</x:v>
      </x:c>
    </x:row>
    <x:row r="54">
      <x:c r="A54" t="str">
        <x:v>COYOACAN</x:v>
      </x:c>
      <x:c r="B54" t="str">
        <x:v>Coyoacán</x:v>
      </x:c>
      <x:c r="C54" t="str">
        <x:v>Hombre</x:v>
      </x:c>
      <x:c r="D54" t="str">
        <x:v>q) 80 a 84 años</x:v>
      </x:c>
      <x:c r="E54" s="1" t="n">
        <x:v>4174</x:v>
      </x:c>
    </x:row>
    <x:row r="55">
      <x:c r="A55" t="str">
        <x:v>COYOACAN</x:v>
      </x:c>
      <x:c r="B55" t="str">
        <x:v>Coyoacán</x:v>
      </x:c>
      <x:c r="C55" t="str">
        <x:v>Hombre</x:v>
      </x:c>
      <x:c r="D55" t="str">
        <x:v>r) 85 años y más</x:v>
      </x:c>
      <x:c r="E55" s="1" t="n">
        <x:v>3321</x:v>
      </x:c>
    </x:row>
    <x:row r="56">
      <x:c r="A56" t="str">
        <x:v>COYOACAN</x:v>
      </x:c>
      <x:c r="B56" t="str">
        <x:v>Coyoacán</x:v>
      </x:c>
      <x:c r="C56" t="str">
        <x:v>Mujer</x:v>
      </x:c>
      <x:c r="D56" t="str">
        <x:v>a) 0 a 4 años</x:v>
      </x:c>
      <x:c r="E56" s="1" t="n">
        <x:v>13109</x:v>
      </x:c>
    </x:row>
    <x:row r="57">
      <x:c r="A57" t="str">
        <x:v>COYOACAN</x:v>
      </x:c>
      <x:c r="B57" t="str">
        <x:v>Coyoacán</x:v>
      </x:c>
      <x:c r="C57" t="str">
        <x:v>Mujer</x:v>
      </x:c>
      <x:c r="D57" t="str">
        <x:v>b) 5 a 9 años</x:v>
      </x:c>
      <x:c r="E57" s="1" t="n">
        <x:v>15013</x:v>
      </x:c>
    </x:row>
    <x:row r="58">
      <x:c r="A58" t="str">
        <x:v>COYOACAN</x:v>
      </x:c>
      <x:c r="B58" t="str">
        <x:v>Coyoacán</x:v>
      </x:c>
      <x:c r="C58" t="str">
        <x:v>Mujer</x:v>
      </x:c>
      <x:c r="D58" t="str">
        <x:v>c) 10 a 14 años</x:v>
      </x:c>
      <x:c r="E58" s="1" t="n">
        <x:v>16721</x:v>
      </x:c>
    </x:row>
    <x:row r="59">
      <x:c r="A59" t="str">
        <x:v>COYOACAN</x:v>
      </x:c>
      <x:c r="B59" t="str">
        <x:v>Coyoacán</x:v>
      </x:c>
      <x:c r="C59" t="str">
        <x:v>Mujer</x:v>
      </x:c>
      <x:c r="D59" t="str">
        <x:v>d) 15 a 19 años</x:v>
      </x:c>
      <x:c r="E59" s="1" t="n">
        <x:v>19308</x:v>
      </x:c>
    </x:row>
    <x:row r="60">
      <x:c r="A60" t="str">
        <x:v>COYOACAN</x:v>
      </x:c>
      <x:c r="B60" t="str">
        <x:v>Coyoacán</x:v>
      </x:c>
      <x:c r="C60" t="str">
        <x:v>Mujer</x:v>
      </x:c>
      <x:c r="D60" t="str">
        <x:v>e) 20 a 24 años</x:v>
      </x:c>
      <x:c r="E60" s="1" t="n">
        <x:v>23369</x:v>
      </x:c>
    </x:row>
    <x:row r="61">
      <x:c r="A61" t="str">
        <x:v>COYOACAN</x:v>
      </x:c>
      <x:c r="B61" t="str">
        <x:v>Coyoacán</x:v>
      </x:c>
      <x:c r="C61" t="str">
        <x:v>Mujer</x:v>
      </x:c>
      <x:c r="D61" t="str">
        <x:v>f) 25 a 29 años</x:v>
      </x:c>
      <x:c r="E61" s="1" t="n">
        <x:v>23960</x:v>
      </x:c>
    </x:row>
    <x:row r="62">
      <x:c r="A62" t="str">
        <x:v>COYOACAN</x:v>
      </x:c>
      <x:c r="B62" t="str">
        <x:v>Coyoacán</x:v>
      </x:c>
      <x:c r="C62" t="str">
        <x:v>Mujer</x:v>
      </x:c>
      <x:c r="D62" t="str">
        <x:v>g) 30 a 34 años</x:v>
      </x:c>
      <x:c r="E62" s="1" t="n">
        <x:v>23393</x:v>
      </x:c>
    </x:row>
    <x:row r="63">
      <x:c r="A63" t="str">
        <x:v>COYOACAN</x:v>
      </x:c>
      <x:c r="B63" t="str">
        <x:v>Coyoacán</x:v>
      </x:c>
      <x:c r="C63" t="str">
        <x:v>Mujer</x:v>
      </x:c>
      <x:c r="D63" t="str">
        <x:v>h) 35 a 39 años</x:v>
      </x:c>
      <x:c r="E63" s="1" t="n">
        <x:v>23561</x:v>
      </x:c>
    </x:row>
    <x:row r="64">
      <x:c r="A64" t="str">
        <x:v>COYOACAN</x:v>
      </x:c>
      <x:c r="B64" t="str">
        <x:v>Coyoacán</x:v>
      </x:c>
      <x:c r="C64" t="str">
        <x:v>Mujer</x:v>
      </x:c>
      <x:c r="D64" t="str">
        <x:v>i) 40 a 44 años</x:v>
      </x:c>
      <x:c r="E64" s="1" t="n">
        <x:v>23931</x:v>
      </x:c>
    </x:row>
    <x:row r="65">
      <x:c r="A65" t="str">
        <x:v>COYOACAN</x:v>
      </x:c>
      <x:c r="B65" t="str">
        <x:v>Coyoacán</x:v>
      </x:c>
      <x:c r="C65" t="str">
        <x:v>Mujer</x:v>
      </x:c>
      <x:c r="D65" t="str">
        <x:v>j) 45 a 49 años</x:v>
      </x:c>
      <x:c r="E65" s="1" t="n">
        <x:v>24865</x:v>
      </x:c>
    </x:row>
    <x:row r="66">
      <x:c r="A66" t="str">
        <x:v>COYOACAN</x:v>
      </x:c>
      <x:c r="B66" t="str">
        <x:v>Coyoacán</x:v>
      </x:c>
      <x:c r="C66" t="str">
        <x:v>Mujer</x:v>
      </x:c>
      <x:c r="D66" t="str">
        <x:v>k) 50 a 54 años</x:v>
      </x:c>
      <x:c r="E66" s="1" t="n">
        <x:v>23601</x:v>
      </x:c>
    </x:row>
    <x:row r="67">
      <x:c r="A67" t="str">
        <x:v>COYOACAN</x:v>
      </x:c>
      <x:c r="B67" t="str">
        <x:v>Coyoacán</x:v>
      </x:c>
      <x:c r="C67" t="str">
        <x:v>Mujer</x:v>
      </x:c>
      <x:c r="D67" t="str">
        <x:v>l) 55 a 59 años</x:v>
      </x:c>
      <x:c r="E67" s="1" t="n">
        <x:v>20856</x:v>
      </x:c>
    </x:row>
    <x:row r="68">
      <x:c r="A68" t="str">
        <x:v>COYOACAN</x:v>
      </x:c>
      <x:c r="B68" t="str">
        <x:v>Coyoacán</x:v>
      </x:c>
      <x:c r="C68" t="str">
        <x:v>Mujer</x:v>
      </x:c>
      <x:c r="D68" t="str">
        <x:v>m) 60 a 64 años</x:v>
      </x:c>
      <x:c r="E68" s="1" t="n">
        <x:v>20697</x:v>
      </x:c>
    </x:row>
    <x:row r="69">
      <x:c r="A69" t="str">
        <x:v>COYOACAN</x:v>
      </x:c>
      <x:c r="B69" t="str">
        <x:v>Coyoacán</x:v>
      </x:c>
      <x:c r="C69" t="str">
        <x:v>Mujer</x:v>
      </x:c>
      <x:c r="D69" t="str">
        <x:v>n) 65 a 69 años</x:v>
      </x:c>
      <x:c r="E69" s="1" t="n">
        <x:v>17480</x:v>
      </x:c>
    </x:row>
    <x:row r="70">
      <x:c r="A70" t="str">
        <x:v>COYOACAN</x:v>
      </x:c>
      <x:c r="B70" t="str">
        <x:v>Coyoacán</x:v>
      </x:c>
      <x:c r="C70" t="str">
        <x:v>Mujer</x:v>
      </x:c>
      <x:c r="D70" t="str">
        <x:v>o) 70 a 74 años</x:v>
      </x:c>
      <x:c r="E70" s="1" t="n">
        <x:v>13762</x:v>
      </x:c>
    </x:row>
    <x:row r="71">
      <x:c r="A71" t="str">
        <x:v>COYOACAN</x:v>
      </x:c>
      <x:c r="B71" t="str">
        <x:v>Coyoacán</x:v>
      </x:c>
      <x:c r="C71" t="str">
        <x:v>Mujer</x:v>
      </x:c>
      <x:c r="D71" t="str">
        <x:v>p) 75 a 79 años</x:v>
      </x:c>
      <x:c r="E71" s="1" t="n">
        <x:v>9201</x:v>
      </x:c>
    </x:row>
    <x:row r="72">
      <x:c r="A72" t="str">
        <x:v>COYOACAN</x:v>
      </x:c>
      <x:c r="B72" t="str">
        <x:v>Coyoacán</x:v>
      </x:c>
      <x:c r="C72" t="str">
        <x:v>Mujer</x:v>
      </x:c>
      <x:c r="D72" t="str">
        <x:v>q) 80 a 84 años</x:v>
      </x:c>
      <x:c r="E72" s="1" t="n">
        <x:v>6219</x:v>
      </x:c>
    </x:row>
    <x:row r="73">
      <x:c r="A73" t="str">
        <x:v>COYOACAN</x:v>
      </x:c>
      <x:c r="B73" t="str">
        <x:v>Coyoacán</x:v>
      </x:c>
      <x:c r="C73" t="str">
        <x:v>Mujer</x:v>
      </x:c>
      <x:c r="D73" t="str">
        <x:v>r) 85 años y más</x:v>
      </x:c>
      <x:c r="E73" s="1" t="n">
        <x:v>6225</x:v>
      </x:c>
    </x:row>
    <x:row r="74">
      <x:c r="A74" t="str">
        <x:v>CUAJIMALPA DE MORELOS</x:v>
      </x:c>
      <x:c r="B74" t="str">
        <x:v>Cuajimalpa de Morelos</x:v>
      </x:c>
      <x:c r="C74" t="str">
        <x:v>Hombre</x:v>
      </x:c>
      <x:c r="D74" t="str">
        <x:v>a) 0 a 4 años</x:v>
      </x:c>
      <x:c r="E74" s="1" t="n">
        <x:v>6079</x:v>
      </x:c>
    </x:row>
    <x:row r="75">
      <x:c r="A75" t="str">
        <x:v>CUAJIMALPA DE MORELOS</x:v>
      </x:c>
      <x:c r="B75" t="str">
        <x:v>Cuajimalpa de Morelos</x:v>
      </x:c>
      <x:c r="C75" t="str">
        <x:v>Hombre</x:v>
      </x:c>
      <x:c r="D75" t="str">
        <x:v>b) 5 a 9 años</x:v>
      </x:c>
      <x:c r="E75" s="1" t="n">
        <x:v>6559</x:v>
      </x:c>
    </x:row>
    <x:row r="76">
      <x:c r="A76" t="str">
        <x:v>CUAJIMALPA DE MORELOS</x:v>
      </x:c>
      <x:c r="B76" t="str">
        <x:v>Cuajimalpa de Morelos</x:v>
      </x:c>
      <x:c r="C76" t="str">
        <x:v>Hombre</x:v>
      </x:c>
      <x:c r="D76" t="str">
        <x:v>c) 10 a 14 años</x:v>
      </x:c>
      <x:c r="E76" s="1" t="n">
        <x:v>6708</x:v>
      </x:c>
    </x:row>
    <x:row r="77">
      <x:c r="A77" t="str">
        <x:v>CUAJIMALPA DE MORELOS</x:v>
      </x:c>
      <x:c r="B77" t="str">
        <x:v>Cuajimalpa de Morelos</x:v>
      </x:c>
      <x:c r="C77" t="str">
        <x:v>Hombre</x:v>
      </x:c>
      <x:c r="D77" t="str">
        <x:v>d) 15 a 19 años</x:v>
      </x:c>
      <x:c r="E77" s="1" t="n">
        <x:v>7108</x:v>
      </x:c>
    </x:row>
    <x:row r="78">
      <x:c r="A78" t="str">
        <x:v>CUAJIMALPA DE MORELOS</x:v>
      </x:c>
      <x:c r="B78" t="str">
        <x:v>Cuajimalpa de Morelos</x:v>
      </x:c>
      <x:c r="C78" t="str">
        <x:v>Hombre</x:v>
      </x:c>
      <x:c r="D78" t="str">
        <x:v>e) 20 a 24 años</x:v>
      </x:c>
      <x:c r="E78" s="1" t="n">
        <x:v>7472</x:v>
      </x:c>
    </x:row>
    <x:row r="79">
      <x:c r="A79" t="str">
        <x:v>CUAJIMALPA DE MORELOS</x:v>
      </x:c>
      <x:c r="B79" t="str">
        <x:v>Cuajimalpa de Morelos</x:v>
      </x:c>
      <x:c r="C79" t="str">
        <x:v>Hombre</x:v>
      </x:c>
      <x:c r="D79" t="str">
        <x:v>f) 25 a 29 años</x:v>
      </x:c>
      <x:c r="E79" s="1" t="n">
        <x:v>7410</x:v>
      </x:c>
    </x:row>
    <x:row r="80">
      <x:c r="A80" t="str">
        <x:v>CUAJIMALPA DE MORELOS</x:v>
      </x:c>
      <x:c r="B80" t="str">
        <x:v>Cuajimalpa de Morelos</x:v>
      </x:c>
      <x:c r="C80" t="str">
        <x:v>Hombre</x:v>
      </x:c>
      <x:c r="D80" t="str">
        <x:v>g) 30 a 34 años</x:v>
      </x:c>
      <x:c r="E80" s="1" t="n">
        <x:v>7276</x:v>
      </x:c>
    </x:row>
    <x:row r="81">
      <x:c r="A81" t="str">
        <x:v>CUAJIMALPA DE MORELOS</x:v>
      </x:c>
      <x:c r="B81" t="str">
        <x:v>Cuajimalpa de Morelos</x:v>
      </x:c>
      <x:c r="C81" t="str">
        <x:v>Hombre</x:v>
      </x:c>
      <x:c r="D81" t="str">
        <x:v>h) 35 a 39 años</x:v>
      </x:c>
      <x:c r="E81" s="1" t="n">
        <x:v>6871</x:v>
      </x:c>
    </x:row>
    <x:row r="82">
      <x:c r="A82" t="str">
        <x:v>CUAJIMALPA DE MORELOS</x:v>
      </x:c>
      <x:c r="B82" t="str">
        <x:v>Cuajimalpa de Morelos</x:v>
      </x:c>
      <x:c r="C82" t="str">
        <x:v>Hombre</x:v>
      </x:c>
      <x:c r="D82" t="str">
        <x:v>i) 40 a 44 años</x:v>
      </x:c>
      <x:c r="E82" s="1" t="n">
        <x:v>6454</x:v>
      </x:c>
    </x:row>
    <x:row r="83">
      <x:c r="A83" t="str">
        <x:v>CUAJIMALPA DE MORELOS</x:v>
      </x:c>
      <x:c r="B83" t="str">
        <x:v>Cuajimalpa de Morelos</x:v>
      </x:c>
      <x:c r="C83" t="str">
        <x:v>Hombre</x:v>
      </x:c>
      <x:c r="D83" t="str">
        <x:v>j) 45 a 49 años</x:v>
      </x:c>
      <x:c r="E83" s="1" t="n">
        <x:v>6462</x:v>
      </x:c>
    </x:row>
    <x:row r="84">
      <x:c r="A84" t="str">
        <x:v>CUAJIMALPA DE MORELOS</x:v>
      </x:c>
      <x:c r="B84" t="str">
        <x:v>Cuajimalpa de Morelos</x:v>
      </x:c>
      <x:c r="C84" t="str">
        <x:v>Hombre</x:v>
      </x:c>
      <x:c r="D84" t="str">
        <x:v>k) 50 a 54 años</x:v>
      </x:c>
      <x:c r="E84" s="1" t="n">
        <x:v>5814</x:v>
      </x:c>
    </x:row>
    <x:row r="85">
      <x:c r="A85" t="str">
        <x:v>CUAJIMALPA DE MORELOS</x:v>
      </x:c>
      <x:c r="B85" t="str">
        <x:v>Cuajimalpa de Morelos</x:v>
      </x:c>
      <x:c r="C85" t="str">
        <x:v>Hombre</x:v>
      </x:c>
      <x:c r="D85" t="str">
        <x:v>l) 55 a 59 años</x:v>
      </x:c>
      <x:c r="E85" s="1" t="n">
        <x:v>4646</x:v>
      </x:c>
    </x:row>
    <x:row r="86">
      <x:c r="A86" t="str">
        <x:v>CUAJIMALPA DE MORELOS</x:v>
      </x:c>
      <x:c r="B86" t="str">
        <x:v>Cuajimalpa de Morelos</x:v>
      </x:c>
      <x:c r="C86" t="str">
        <x:v>Hombre</x:v>
      </x:c>
      <x:c r="D86" t="str">
        <x:v>m) 60 a 64 años</x:v>
      </x:c>
      <x:c r="E86" s="1" t="n">
        <x:v>3633</x:v>
      </x:c>
    </x:row>
    <x:row r="87">
      <x:c r="A87" t="str">
        <x:v>CUAJIMALPA DE MORELOS</x:v>
      </x:c>
      <x:c r="B87" t="str">
        <x:v>Cuajimalpa de Morelos</x:v>
      </x:c>
      <x:c r="C87" t="str">
        <x:v>Hombre</x:v>
      </x:c>
      <x:c r="D87" t="str">
        <x:v>n) 65 a 69 años</x:v>
      </x:c>
      <x:c r="E87" s="1" t="n">
        <x:v>2535</x:v>
      </x:c>
    </x:row>
    <x:row r="88">
      <x:c r="A88" t="str">
        <x:v>CUAJIMALPA DE MORELOS</x:v>
      </x:c>
      <x:c r="B88" t="str">
        <x:v>Cuajimalpa de Morelos</x:v>
      </x:c>
      <x:c r="C88" t="str">
        <x:v>Hombre</x:v>
      </x:c>
      <x:c r="D88" t="str">
        <x:v>o) 70 a 74 años</x:v>
      </x:c>
      <x:c r="E88" s="1" t="n">
        <x:v>1714</x:v>
      </x:c>
    </x:row>
    <x:row r="89">
      <x:c r="A89" t="str">
        <x:v>CUAJIMALPA DE MORELOS</x:v>
      </x:c>
      <x:c r="B89" t="str">
        <x:v>Cuajimalpa de Morelos</x:v>
      </x:c>
      <x:c r="C89" t="str">
        <x:v>Hombre</x:v>
      </x:c>
      <x:c r="D89" t="str">
        <x:v>p) 75 a 79 años</x:v>
      </x:c>
      <x:c r="E89" s="1" t="n">
        <x:v>1137</x:v>
      </x:c>
    </x:row>
    <x:row r="90">
      <x:c r="A90" t="str">
        <x:v>CUAJIMALPA DE MORELOS</x:v>
      </x:c>
      <x:c r="B90" t="str">
        <x:v>Cuajimalpa de Morelos</x:v>
      </x:c>
      <x:c r="C90" t="str">
        <x:v>Hombre</x:v>
      </x:c>
      <x:c r="D90" t="str">
        <x:v>q) 80 a 84 años</x:v>
      </x:c>
      <x:c r="E90" s="1" t="n">
        <x:v>688</x:v>
      </x:c>
    </x:row>
    <x:row r="91">
      <x:c r="A91" t="str">
        <x:v>CUAJIMALPA DE MORELOS</x:v>
      </x:c>
      <x:c r="B91" t="str">
        <x:v>Cuajimalpa de Morelos</x:v>
      </x:c>
      <x:c r="C91" t="str">
        <x:v>Hombre</x:v>
      </x:c>
      <x:c r="D91" t="str">
        <x:v>r) 85 años y más</x:v>
      </x:c>
      <x:c r="E91" s="1" t="n">
        <x:v>458</x:v>
      </x:c>
    </x:row>
    <x:row r="92">
      <x:c r="A92" t="str">
        <x:v>CUAJIMALPA DE MORELOS</x:v>
      </x:c>
      <x:c r="B92" t="str">
        <x:v>Cuajimalpa de Morelos</x:v>
      </x:c>
      <x:c r="C92" t="str">
        <x:v>Mujer</x:v>
      </x:c>
      <x:c r="D92" t="str">
        <x:v>a) 0 a 4 años</x:v>
      </x:c>
      <x:c r="E92" s="1" t="n">
        <x:v>5851</x:v>
      </x:c>
    </x:row>
    <x:row r="93">
      <x:c r="A93" t="str">
        <x:v>CUAJIMALPA DE MORELOS</x:v>
      </x:c>
      <x:c r="B93" t="str">
        <x:v>Cuajimalpa de Morelos</x:v>
      </x:c>
      <x:c r="C93" t="str">
        <x:v>Mujer</x:v>
      </x:c>
      <x:c r="D93" t="str">
        <x:v>b) 5 a 9 años</x:v>
      </x:c>
      <x:c r="E93" s="1" t="n">
        <x:v>6078</x:v>
      </x:c>
    </x:row>
    <x:row r="94">
      <x:c r="A94" t="str">
        <x:v>CUAJIMALPA DE MORELOS</x:v>
      </x:c>
      <x:c r="B94" t="str">
        <x:v>Cuajimalpa de Morelos</x:v>
      </x:c>
      <x:c r="C94" t="str">
        <x:v>Mujer</x:v>
      </x:c>
      <x:c r="D94" t="str">
        <x:v>c) 10 a 14 años</x:v>
      </x:c>
      <x:c r="E94" s="1" t="n">
        <x:v>6546</x:v>
      </x:c>
    </x:row>
    <x:row r="95">
      <x:c r="A95" t="str">
        <x:v>CUAJIMALPA DE MORELOS</x:v>
      </x:c>
      <x:c r="B95" t="str">
        <x:v>Cuajimalpa de Morelos</x:v>
      </x:c>
      <x:c r="C95" t="str">
        <x:v>Mujer</x:v>
      </x:c>
      <x:c r="D95" t="str">
        <x:v>d) 15 a 19 años</x:v>
      </x:c>
      <x:c r="E95" s="1" t="n">
        <x:v>7085</x:v>
      </x:c>
    </x:row>
    <x:row r="96">
      <x:c r="A96" t="str">
        <x:v>CUAJIMALPA DE MORELOS</x:v>
      </x:c>
      <x:c r="B96" t="str">
        <x:v>Cuajimalpa de Morelos</x:v>
      </x:c>
      <x:c r="C96" t="str">
        <x:v>Mujer</x:v>
      </x:c>
      <x:c r="D96" t="str">
        <x:v>e) 20 a 24 años</x:v>
      </x:c>
      <x:c r="E96" s="1" t="n">
        <x:v>8082</x:v>
      </x:c>
    </x:row>
    <x:row r="97">
      <x:c r="A97" t="str">
        <x:v>CUAJIMALPA DE MORELOS</x:v>
      </x:c>
      <x:c r="B97" t="str">
        <x:v>Cuajimalpa de Morelos</x:v>
      </x:c>
      <x:c r="C97" t="str">
        <x:v>Mujer</x:v>
      </x:c>
      <x:c r="D97" t="str">
        <x:v>f) 25 a 29 años</x:v>
      </x:c>
      <x:c r="E97" s="1" t="n">
        <x:v>8392</x:v>
      </x:c>
    </x:row>
    <x:row r="98">
      <x:c r="A98" t="str">
        <x:v>CUAJIMALPA DE MORELOS</x:v>
      </x:c>
      <x:c r="B98" t="str">
        <x:v>Cuajimalpa de Morelos</x:v>
      </x:c>
      <x:c r="C98" t="str">
        <x:v>Mujer</x:v>
      </x:c>
      <x:c r="D98" t="str">
        <x:v>g) 30 a 34 años</x:v>
      </x:c>
      <x:c r="E98" s="1" t="n">
        <x:v>8313</x:v>
      </x:c>
    </x:row>
    <x:row r="99">
      <x:c r="A99" t="str">
        <x:v>CUAJIMALPA DE MORELOS</x:v>
      </x:c>
      <x:c r="B99" t="str">
        <x:v>Cuajimalpa de Morelos</x:v>
      </x:c>
      <x:c r="C99" t="str">
        <x:v>Mujer</x:v>
      </x:c>
      <x:c r="D99" t="str">
        <x:v>h) 35 a 39 años</x:v>
      </x:c>
      <x:c r="E99" s="1" t="n">
        <x:v>7642</x:v>
      </x:c>
    </x:row>
    <x:row r="100">
      <x:c r="A100" t="str">
        <x:v>CUAJIMALPA DE MORELOS</x:v>
      </x:c>
      <x:c r="B100" t="str">
        <x:v>Cuajimalpa de Morelos</x:v>
      </x:c>
      <x:c r="C100" t="str">
        <x:v>Mujer</x:v>
      </x:c>
      <x:c r="D100" t="str">
        <x:v>i) 40 a 44 años</x:v>
      </x:c>
      <x:c r="E100" s="1" t="n">
        <x:v>7326</x:v>
      </x:c>
    </x:row>
    <x:row r="101">
      <x:c r="A101" t="str">
        <x:v>CUAJIMALPA DE MORELOS</x:v>
      </x:c>
      <x:c r="B101" t="str">
        <x:v>Cuajimalpa de Morelos</x:v>
      </x:c>
      <x:c r="C101" t="str">
        <x:v>Mujer</x:v>
      </x:c>
      <x:c r="D101" t="str">
        <x:v>j) 45 a 49 años</x:v>
      </x:c>
      <x:c r="E101" s="1" t="n">
        <x:v>7418</x:v>
      </x:c>
    </x:row>
    <x:row r="102">
      <x:c r="A102" t="str">
        <x:v>CUAJIMALPA DE MORELOS</x:v>
      </x:c>
      <x:c r="B102" t="str">
        <x:v>Cuajimalpa de Morelos</x:v>
      </x:c>
      <x:c r="C102" t="str">
        <x:v>Mujer</x:v>
      </x:c>
      <x:c r="D102" t="str">
        <x:v>k) 50 a 54 años</x:v>
      </x:c>
      <x:c r="E102" s="1" t="n">
        <x:v>6835</x:v>
      </x:c>
    </x:row>
    <x:row r="103">
      <x:c r="A103" t="str">
        <x:v>CUAJIMALPA DE MORELOS</x:v>
      </x:c>
      <x:c r="B103" t="str">
        <x:v>Cuajimalpa de Morelos</x:v>
      </x:c>
      <x:c r="C103" t="str">
        <x:v>Mujer</x:v>
      </x:c>
      <x:c r="D103" t="str">
        <x:v>l) 55 a 59 años</x:v>
      </x:c>
      <x:c r="E103" s="1" t="n">
        <x:v>5357</x:v>
      </x:c>
    </x:row>
    <x:row r="104">
      <x:c r="A104" t="str">
        <x:v>CUAJIMALPA DE MORELOS</x:v>
      </x:c>
      <x:c r="B104" t="str">
        <x:v>Cuajimalpa de Morelos</x:v>
      </x:c>
      <x:c r="C104" t="str">
        <x:v>Mujer</x:v>
      </x:c>
      <x:c r="D104" t="str">
        <x:v>m) 60 a 64 años</x:v>
      </x:c>
      <x:c r="E104" s="1" t="n">
        <x:v>4245</x:v>
      </x:c>
    </x:row>
    <x:row r="105">
      <x:c r="A105" t="str">
        <x:v>CUAJIMALPA DE MORELOS</x:v>
      </x:c>
      <x:c r="B105" t="str">
        <x:v>Cuajimalpa de Morelos</x:v>
      </x:c>
      <x:c r="C105" t="str">
        <x:v>Mujer</x:v>
      </x:c>
      <x:c r="D105" t="str">
        <x:v>n) 65 a 69 años</x:v>
      </x:c>
      <x:c r="E105" s="1" t="n">
        <x:v>2979</x:v>
      </x:c>
    </x:row>
    <x:row r="106">
      <x:c r="A106" t="str">
        <x:v>CUAJIMALPA DE MORELOS</x:v>
      </x:c>
      <x:c r="B106" t="str">
        <x:v>Cuajimalpa de Morelos</x:v>
      </x:c>
      <x:c r="C106" t="str">
        <x:v>Mujer</x:v>
      </x:c>
      <x:c r="D106" t="str">
        <x:v>o) 70 a 74 años</x:v>
      </x:c>
      <x:c r="E106" s="1" t="n">
        <x:v>2168</x:v>
      </x:c>
    </x:row>
    <x:row r="107">
      <x:c r="A107" t="str">
        <x:v>CUAJIMALPA DE MORELOS</x:v>
      </x:c>
      <x:c r="B107" t="str">
        <x:v>Cuajimalpa de Morelos</x:v>
      </x:c>
      <x:c r="C107" t="str">
        <x:v>Mujer</x:v>
      </x:c>
      <x:c r="D107" t="str">
        <x:v>p) 75 a 79 años</x:v>
      </x:c>
      <x:c r="E107" s="1" t="n">
        <x:v>1388</x:v>
      </x:c>
    </x:row>
    <x:row r="108">
      <x:c r="A108" t="str">
        <x:v>CUAJIMALPA DE MORELOS</x:v>
      </x:c>
      <x:c r="B108" t="str">
        <x:v>Cuajimalpa de Morelos</x:v>
      </x:c>
      <x:c r="C108" t="str">
        <x:v>Mujer</x:v>
      </x:c>
      <x:c r="D108" t="str">
        <x:v>q) 80 a 84 años</x:v>
      </x:c>
      <x:c r="E108" s="1" t="n">
        <x:v>974</x:v>
      </x:c>
    </x:row>
    <x:row r="109">
      <x:c r="A109" t="str">
        <x:v>CUAJIMALPA DE MORELOS</x:v>
      </x:c>
      <x:c r="B109" t="str">
        <x:v>Cuajimalpa de Morelos</x:v>
      </x:c>
      <x:c r="C109" t="str">
        <x:v>Mujer</x:v>
      </x:c>
      <x:c r="D109" t="str">
        <x:v>r) 85 años y más</x:v>
      </x:c>
      <x:c r="E109" s="1" t="n">
        <x:v>881</x:v>
      </x:c>
    </x:row>
    <x:row r="110">
      <x:c r="A110" t="str">
        <x:v>CUAJIMALPA DE MORELOS</x:v>
      </x:c>
      <x:c r="B110" t="str">
        <x:v>Cruz Blanca</x:v>
      </x:c>
      <x:c r="C110" t="str">
        <x:v>Hombre</x:v>
      </x:c>
      <x:c r="D110" t="str">
        <x:v>a) 0 a 4 años</x:v>
      </x:c>
      <x:c r="E110" s="1" t="n">
        <x:v>32</x:v>
      </x:c>
    </x:row>
    <x:row r="111">
      <x:c r="A111" t="str">
        <x:v>CUAJIMALPA DE MORELOS</x:v>
      </x:c>
      <x:c r="B111" t="str">
        <x:v>Cruz Blanca</x:v>
      </x:c>
      <x:c r="C111" t="str">
        <x:v>Hombre</x:v>
      </x:c>
      <x:c r="D111" t="str">
        <x:v>b) 5 a 9 años</x:v>
      </x:c>
      <x:c r="E111" s="1" t="n">
        <x:v>41</x:v>
      </x:c>
    </x:row>
    <x:row r="112">
      <x:c r="A112" t="str">
        <x:v>CUAJIMALPA DE MORELOS</x:v>
      </x:c>
      <x:c r="B112" t="str">
        <x:v>Cruz Blanca</x:v>
      </x:c>
      <x:c r="C112" t="str">
        <x:v>Hombre</x:v>
      </x:c>
      <x:c r="D112" t="str">
        <x:v>c) 10 a 14 años</x:v>
      </x:c>
      <x:c r="E112" s="1" t="n">
        <x:v>27</x:v>
      </x:c>
    </x:row>
    <x:row r="113">
      <x:c r="A113" t="str">
        <x:v>CUAJIMALPA DE MORELOS</x:v>
      </x:c>
      <x:c r="B113" t="str">
        <x:v>Cruz Blanca</x:v>
      </x:c>
      <x:c r="C113" t="str">
        <x:v>Hombre</x:v>
      </x:c>
      <x:c r="D113" t="str">
        <x:v>d) 15 a 19 años</x:v>
      </x:c>
      <x:c r="E113" s="1" t="n">
        <x:v>28</x:v>
      </x:c>
    </x:row>
    <x:row r="114">
      <x:c r="A114" t="str">
        <x:v>CUAJIMALPA DE MORELOS</x:v>
      </x:c>
      <x:c r="B114" t="str">
        <x:v>Cruz Blanca</x:v>
      </x:c>
      <x:c r="C114" t="str">
        <x:v>Hombre</x:v>
      </x:c>
      <x:c r="D114" t="str">
        <x:v>e) 20 a 24 años</x:v>
      </x:c>
      <x:c r="E114" s="1" t="n">
        <x:v>40</x:v>
      </x:c>
    </x:row>
    <x:row r="115">
      <x:c r="A115" t="str">
        <x:v>CUAJIMALPA DE MORELOS</x:v>
      </x:c>
      <x:c r="B115" t="str">
        <x:v>Cruz Blanca</x:v>
      </x:c>
      <x:c r="C115" t="str">
        <x:v>Hombre</x:v>
      </x:c>
      <x:c r="D115" t="str">
        <x:v>f) 25 a 29 años</x:v>
      </x:c>
      <x:c r="E115" s="1" t="n">
        <x:v>31</x:v>
      </x:c>
    </x:row>
    <x:row r="116">
      <x:c r="A116" t="str">
        <x:v>CUAJIMALPA DE MORELOS</x:v>
      </x:c>
      <x:c r="B116" t="str">
        <x:v>Cruz Blanca</x:v>
      </x:c>
      <x:c r="C116" t="str">
        <x:v>Hombre</x:v>
      </x:c>
      <x:c r="D116" t="str">
        <x:v>g) 30 a 34 años</x:v>
      </x:c>
      <x:c r="E116" s="1" t="n">
        <x:v>36</x:v>
      </x:c>
    </x:row>
    <x:row r="117">
      <x:c r="A117" t="str">
        <x:v>CUAJIMALPA DE MORELOS</x:v>
      </x:c>
      <x:c r="B117" t="str">
        <x:v>Cruz Blanca</x:v>
      </x:c>
      <x:c r="C117" t="str">
        <x:v>Hombre</x:v>
      </x:c>
      <x:c r="D117" t="str">
        <x:v>h) 35 a 39 años</x:v>
      </x:c>
      <x:c r="E117" s="1" t="n">
        <x:v>31</x:v>
      </x:c>
    </x:row>
    <x:row r="118">
      <x:c r="A118" t="str">
        <x:v>CUAJIMALPA DE MORELOS</x:v>
      </x:c>
      <x:c r="B118" t="str">
        <x:v>Cruz Blanca</x:v>
      </x:c>
      <x:c r="C118" t="str">
        <x:v>Hombre</x:v>
      </x:c>
      <x:c r="D118" t="str">
        <x:v>i) 40 a 44 años</x:v>
      </x:c>
      <x:c r="E118" s="1" t="n">
        <x:v>23</x:v>
      </x:c>
    </x:row>
    <x:row r="119">
      <x:c r="A119" t="str">
        <x:v>CUAJIMALPA DE MORELOS</x:v>
      </x:c>
      <x:c r="B119" t="str">
        <x:v>Cruz Blanca</x:v>
      </x:c>
      <x:c r="C119" t="str">
        <x:v>Hombre</x:v>
      </x:c>
      <x:c r="D119" t="str">
        <x:v>j) 45 a 49 años</x:v>
      </x:c>
      <x:c r="E119" s="1" t="n">
        <x:v>12</x:v>
      </x:c>
    </x:row>
    <x:row r="120">
      <x:c r="A120" t="str">
        <x:v>CUAJIMALPA DE MORELOS</x:v>
      </x:c>
      <x:c r="B120" t="str">
        <x:v>Cruz Blanca</x:v>
      </x:c>
      <x:c r="C120" t="str">
        <x:v>Hombre</x:v>
      </x:c>
      <x:c r="D120" t="str">
        <x:v>k) 50 a 54 años</x:v>
      </x:c>
      <x:c r="E120" s="1" t="n">
        <x:v>22</x:v>
      </x:c>
    </x:row>
    <x:row r="121">
      <x:c r="A121" t="str">
        <x:v>CUAJIMALPA DE MORELOS</x:v>
      </x:c>
      <x:c r="B121" t="str">
        <x:v>Cruz Blanca</x:v>
      </x:c>
      <x:c r="C121" t="str">
        <x:v>Hombre</x:v>
      </x:c>
      <x:c r="D121" t="str">
        <x:v>l) 55 a 59 años</x:v>
      </x:c>
      <x:c r="E121" s="1" t="n">
        <x:v>17</x:v>
      </x:c>
    </x:row>
    <x:row r="122">
      <x:c r="A122" t="str">
        <x:v>CUAJIMALPA DE MORELOS</x:v>
      </x:c>
      <x:c r="B122" t="str">
        <x:v>Cruz Blanca</x:v>
      </x:c>
      <x:c r="C122" t="str">
        <x:v>Hombre</x:v>
      </x:c>
      <x:c r="D122" t="str">
        <x:v>m) 60 a 64 años</x:v>
      </x:c>
      <x:c r="E122" s="1" t="n">
        <x:v>11</x:v>
      </x:c>
    </x:row>
    <x:row r="123">
      <x:c r="A123" t="str">
        <x:v>CUAJIMALPA DE MORELOS</x:v>
      </x:c>
      <x:c r="B123" t="str">
        <x:v>Cruz Blanca</x:v>
      </x:c>
      <x:c r="C123" t="str">
        <x:v>Hombre</x:v>
      </x:c>
      <x:c r="D123" t="str">
        <x:v>n) 65 a 69 años</x:v>
      </x:c>
      <x:c r="E123" s="1" t="n">
        <x:v>7</x:v>
      </x:c>
    </x:row>
    <x:row r="124">
      <x:c r="A124" t="str">
        <x:v>CUAJIMALPA DE MORELOS</x:v>
      </x:c>
      <x:c r="B124" t="str">
        <x:v>Cruz Blanca</x:v>
      </x:c>
      <x:c r="C124" t="str">
        <x:v>Hombre</x:v>
      </x:c>
      <x:c r="D124" t="str">
        <x:v>o) 70 a 74 años</x:v>
      </x:c>
      <x:c r="E124" s="1" t="n">
        <x:v>4</x:v>
      </x:c>
    </x:row>
    <x:row r="125">
      <x:c r="A125" t="str">
        <x:v>CUAJIMALPA DE MORELOS</x:v>
      </x:c>
      <x:c r="B125" t="str">
        <x:v>Cruz Blanca</x:v>
      </x:c>
      <x:c r="C125" t="str">
        <x:v>Hombre</x:v>
      </x:c>
      <x:c r="D125" t="str">
        <x:v>p) 75 a 79 años</x:v>
      </x:c>
      <x:c r="E125" s="1" t="n">
        <x:v>3</x:v>
      </x:c>
    </x:row>
    <x:row r="126">
      <x:c r="A126" t="str">
        <x:v>CUAJIMALPA DE MORELOS</x:v>
      </x:c>
      <x:c r="B126" t="str">
        <x:v>Cruz Blanca</x:v>
      </x:c>
      <x:c r="C126" t="str">
        <x:v>Hombre</x:v>
      </x:c>
      <x:c r="D126" t="str">
        <x:v>q) 80 a 84 años</x:v>
      </x:c>
      <x:c r="E126" s="1" t="n">
        <x:v>1</x:v>
      </x:c>
    </x:row>
    <x:row r="127">
      <x:c r="A127" t="str">
        <x:v>CUAJIMALPA DE MORELOS</x:v>
      </x:c>
      <x:c r="B127" t="str">
        <x:v>Cruz Blanca</x:v>
      </x:c>
      <x:c r="C127" t="str">
        <x:v>Hombre</x:v>
      </x:c>
      <x:c r="D127" t="str">
        <x:v>r) 85 años y más</x:v>
      </x:c>
      <x:c r="E127" s="1" t="n">
        <x:v>0</x:v>
      </x:c>
    </x:row>
    <x:row r="128">
      <x:c r="A128" t="str">
        <x:v>CUAJIMALPA DE MORELOS</x:v>
      </x:c>
      <x:c r="B128" t="str">
        <x:v>Cruz Blanca</x:v>
      </x:c>
      <x:c r="C128" t="str">
        <x:v>Mujer</x:v>
      </x:c>
      <x:c r="D128" t="str">
        <x:v>a) 0 a 4 años</x:v>
      </x:c>
      <x:c r="E128" s="1" t="n">
        <x:v>39</x:v>
      </x:c>
    </x:row>
    <x:row r="129">
      <x:c r="A129" t="str">
        <x:v>CUAJIMALPA DE MORELOS</x:v>
      </x:c>
      <x:c r="B129" t="str">
        <x:v>Cruz Blanca</x:v>
      </x:c>
      <x:c r="C129" t="str">
        <x:v>Mujer</x:v>
      </x:c>
      <x:c r="D129" t="str">
        <x:v>b) 5 a 9 años</x:v>
      </x:c>
      <x:c r="E129" s="1" t="n">
        <x:v>33</x:v>
      </x:c>
    </x:row>
    <x:row r="130">
      <x:c r="A130" t="str">
        <x:v>CUAJIMALPA DE MORELOS</x:v>
      </x:c>
      <x:c r="B130" t="str">
        <x:v>Cruz Blanca</x:v>
      </x:c>
      <x:c r="C130" t="str">
        <x:v>Mujer</x:v>
      </x:c>
      <x:c r="D130" t="str">
        <x:v>c) 10 a 14 años</x:v>
      </x:c>
      <x:c r="E130" s="1" t="n">
        <x:v>27</x:v>
      </x:c>
    </x:row>
    <x:row r="131">
      <x:c r="A131" t="str">
        <x:v>CUAJIMALPA DE MORELOS</x:v>
      </x:c>
      <x:c r="B131" t="str">
        <x:v>Cruz Blanca</x:v>
      </x:c>
      <x:c r="C131" t="str">
        <x:v>Mujer</x:v>
      </x:c>
      <x:c r="D131" t="str">
        <x:v>d) 15 a 19 años</x:v>
      </x:c>
      <x:c r="E131" s="1" t="n">
        <x:v>27</x:v>
      </x:c>
    </x:row>
    <x:row r="132">
      <x:c r="A132" t="str">
        <x:v>CUAJIMALPA DE MORELOS</x:v>
      </x:c>
      <x:c r="B132" t="str">
        <x:v>Cruz Blanca</x:v>
      </x:c>
      <x:c r="C132" t="str">
        <x:v>Mujer</x:v>
      </x:c>
      <x:c r="D132" t="str">
        <x:v>e) 20 a 24 años</x:v>
      </x:c>
      <x:c r="E132" s="1" t="n">
        <x:v>32</x:v>
      </x:c>
    </x:row>
    <x:row r="133">
      <x:c r="A133" t="str">
        <x:v>CUAJIMALPA DE MORELOS</x:v>
      </x:c>
      <x:c r="B133" t="str">
        <x:v>Cruz Blanca</x:v>
      </x:c>
      <x:c r="C133" t="str">
        <x:v>Mujer</x:v>
      </x:c>
      <x:c r="D133" t="str">
        <x:v>f) 25 a 29 años</x:v>
      </x:c>
      <x:c r="E133" s="1" t="n">
        <x:v>45</x:v>
      </x:c>
    </x:row>
    <x:row r="134">
      <x:c r="A134" t="str">
        <x:v>CUAJIMALPA DE MORELOS</x:v>
      </x:c>
      <x:c r="B134" t="str">
        <x:v>Cruz Blanca</x:v>
      </x:c>
      <x:c r="C134" t="str">
        <x:v>Mujer</x:v>
      </x:c>
      <x:c r="D134" t="str">
        <x:v>g) 30 a 34 años</x:v>
      </x:c>
      <x:c r="E134" s="1" t="n">
        <x:v>29</x:v>
      </x:c>
    </x:row>
    <x:row r="135">
      <x:c r="A135" t="str">
        <x:v>CUAJIMALPA DE MORELOS</x:v>
      </x:c>
      <x:c r="B135" t="str">
        <x:v>Cruz Blanca</x:v>
      </x:c>
      <x:c r="C135" t="str">
        <x:v>Mujer</x:v>
      </x:c>
      <x:c r="D135" t="str">
        <x:v>h) 35 a 39 años</x:v>
      </x:c>
      <x:c r="E135" s="1" t="n">
        <x:v>24</x:v>
      </x:c>
    </x:row>
    <x:row r="136">
      <x:c r="A136" t="str">
        <x:v>CUAJIMALPA DE MORELOS</x:v>
      </x:c>
      <x:c r="B136" t="str">
        <x:v>Cruz Blanca</x:v>
      </x:c>
      <x:c r="C136" t="str">
        <x:v>Mujer</x:v>
      </x:c>
      <x:c r="D136" t="str">
        <x:v>i) 40 a 44 años</x:v>
      </x:c>
      <x:c r="E136" s="1" t="n">
        <x:v>20</x:v>
      </x:c>
    </x:row>
    <x:row r="137">
      <x:c r="A137" t="str">
        <x:v>CUAJIMALPA DE MORELOS</x:v>
      </x:c>
      <x:c r="B137" t="str">
        <x:v>Cruz Blanca</x:v>
      </x:c>
      <x:c r="C137" t="str">
        <x:v>Mujer</x:v>
      </x:c>
      <x:c r="D137" t="str">
        <x:v>j) 45 a 49 años</x:v>
      </x:c>
      <x:c r="E137" s="1" t="n">
        <x:v>19</x:v>
      </x:c>
    </x:row>
    <x:row r="138">
      <x:c r="A138" t="str">
        <x:v>CUAJIMALPA DE MORELOS</x:v>
      </x:c>
      <x:c r="B138" t="str">
        <x:v>Cruz Blanca</x:v>
      </x:c>
      <x:c r="C138" t="str">
        <x:v>Mujer</x:v>
      </x:c>
      <x:c r="D138" t="str">
        <x:v>k) 50 a 54 años</x:v>
      </x:c>
      <x:c r="E138" s="1" t="n">
        <x:v>26</x:v>
      </x:c>
    </x:row>
    <x:row r="139">
      <x:c r="A139" t="str">
        <x:v>CUAJIMALPA DE MORELOS</x:v>
      </x:c>
      <x:c r="B139" t="str">
        <x:v>Cruz Blanca</x:v>
      </x:c>
      <x:c r="C139" t="str">
        <x:v>Mujer</x:v>
      </x:c>
      <x:c r="D139" t="str">
        <x:v>l) 55 a 59 años</x:v>
      </x:c>
      <x:c r="E139" s="1" t="n">
        <x:v>13</x:v>
      </x:c>
    </x:row>
    <x:row r="140">
      <x:c r="A140" t="str">
        <x:v>CUAJIMALPA DE MORELOS</x:v>
      </x:c>
      <x:c r="B140" t="str">
        <x:v>Cruz Blanca</x:v>
      </x:c>
      <x:c r="C140" t="str">
        <x:v>Mujer</x:v>
      </x:c>
      <x:c r="D140" t="str">
        <x:v>m) 60 a 64 años</x:v>
      </x:c>
      <x:c r="E140" s="1" t="n">
        <x:v>12</x:v>
      </x:c>
    </x:row>
    <x:row r="141">
      <x:c r="A141" t="str">
        <x:v>CUAJIMALPA DE MORELOS</x:v>
      </x:c>
      <x:c r="B141" t="str">
        <x:v>Cruz Blanca</x:v>
      </x:c>
      <x:c r="C141" t="str">
        <x:v>Mujer</x:v>
      </x:c>
      <x:c r="D141" t="str">
        <x:v>n) 65 a 69 años</x:v>
      </x:c>
      <x:c r="E141" s="1" t="n">
        <x:v>6</x:v>
      </x:c>
    </x:row>
    <x:row r="142">
      <x:c r="A142" t="str">
        <x:v>CUAJIMALPA DE MORELOS</x:v>
      </x:c>
      <x:c r="B142" t="str">
        <x:v>Cruz Blanca</x:v>
      </x:c>
      <x:c r="C142" t="str">
        <x:v>Mujer</x:v>
      </x:c>
      <x:c r="D142" t="str">
        <x:v>o) 70 a 74 años</x:v>
      </x:c>
      <x:c r="E142" s="1" t="n">
        <x:v>6</x:v>
      </x:c>
    </x:row>
    <x:row r="143">
      <x:c r="A143" t="str">
        <x:v>CUAJIMALPA DE MORELOS</x:v>
      </x:c>
      <x:c r="B143" t="str">
        <x:v>Cruz Blanca</x:v>
      </x:c>
      <x:c r="C143" t="str">
        <x:v>Mujer</x:v>
      </x:c>
      <x:c r="D143" t="str">
        <x:v>p) 75 a 79 años</x:v>
      </x:c>
      <x:c r="E143" s="1" t="n">
        <x:v>3</x:v>
      </x:c>
    </x:row>
    <x:row r="144">
      <x:c r="A144" t="str">
        <x:v>CUAJIMALPA DE MORELOS</x:v>
      </x:c>
      <x:c r="B144" t="str">
        <x:v>Cruz Blanca</x:v>
      </x:c>
      <x:c r="C144" t="str">
        <x:v>Mujer</x:v>
      </x:c>
      <x:c r="D144" t="str">
        <x:v>q) 80 a 84 años</x:v>
      </x:c>
      <x:c r="E144" s="1" t="n">
        <x:v>0</x:v>
      </x:c>
    </x:row>
    <x:row r="145">
      <x:c r="A145" t="str">
        <x:v>CUAJIMALPA DE MORELOS</x:v>
      </x:c>
      <x:c r="B145" t="str">
        <x:v>Cruz Blanca</x:v>
      </x:c>
      <x:c r="C145" t="str">
        <x:v>Mujer</x:v>
      </x:c>
      <x:c r="D145" t="str">
        <x:v>r) 85 años y más</x:v>
      </x:c>
      <x:c r="E145" s="1" t="n">
        <x:v>1</x:v>
      </x:c>
    </x:row>
    <x:row r="146">
      <x:c r="A146" t="str">
        <x:v>CUAJIMALPA DE MORELOS</x:v>
      </x:c>
      <x:c r="B146" t="str">
        <x:v>San Lorenzo Acopilco</x:v>
      </x:c>
      <x:c r="C146" t="str">
        <x:v>Hombre</x:v>
      </x:c>
      <x:c r="D146" t="str">
        <x:v>a) 0 a 4 años</x:v>
      </x:c>
      <x:c r="E146" s="1" t="n">
        <x:v>971</x:v>
      </x:c>
    </x:row>
    <x:row r="147">
      <x:c r="A147" t="str">
        <x:v>CUAJIMALPA DE MORELOS</x:v>
      </x:c>
      <x:c r="B147" t="str">
        <x:v>San Lorenzo Acopilco</x:v>
      </x:c>
      <x:c r="C147" t="str">
        <x:v>Hombre</x:v>
      </x:c>
      <x:c r="D147" t="str">
        <x:v>b) 5 a 9 años</x:v>
      </x:c>
      <x:c r="E147" s="1" t="n">
        <x:v>1089</x:v>
      </x:c>
    </x:row>
    <x:row r="148">
      <x:c r="A148" t="str">
        <x:v>CUAJIMALPA DE MORELOS</x:v>
      </x:c>
      <x:c r="B148" t="str">
        <x:v>San Lorenzo Acopilco</x:v>
      </x:c>
      <x:c r="C148" t="str">
        <x:v>Hombre</x:v>
      </x:c>
      <x:c r="D148" t="str">
        <x:v>c) 10 a 14 años</x:v>
      </x:c>
      <x:c r="E148" s="1" t="n">
        <x:v>1028</x:v>
      </x:c>
    </x:row>
    <x:row r="149">
      <x:c r="A149" t="str">
        <x:v>CUAJIMALPA DE MORELOS</x:v>
      </x:c>
      <x:c r="B149" t="str">
        <x:v>San Lorenzo Acopilco</x:v>
      </x:c>
      <x:c r="C149" t="str">
        <x:v>Hombre</x:v>
      </x:c>
      <x:c r="D149" t="str">
        <x:v>d) 15 a 19 años</x:v>
      </x:c>
      <x:c r="E149" s="1" t="n">
        <x:v>1092</x:v>
      </x:c>
    </x:row>
    <x:row r="150">
      <x:c r="A150" t="str">
        <x:v>CUAJIMALPA DE MORELOS</x:v>
      </x:c>
      <x:c r="B150" t="str">
        <x:v>San Lorenzo Acopilco</x:v>
      </x:c>
      <x:c r="C150" t="str">
        <x:v>Hombre</x:v>
      </x:c>
      <x:c r="D150" t="str">
        <x:v>e) 20 a 24 años</x:v>
      </x:c>
      <x:c r="E150" s="1" t="n">
        <x:v>1121</x:v>
      </x:c>
    </x:row>
    <x:row r="151">
      <x:c r="A151" t="str">
        <x:v>CUAJIMALPA DE MORELOS</x:v>
      </x:c>
      <x:c r="B151" t="str">
        <x:v>San Lorenzo Acopilco</x:v>
      </x:c>
      <x:c r="C151" t="str">
        <x:v>Hombre</x:v>
      </x:c>
      <x:c r="D151" t="str">
        <x:v>f) 25 a 29 años</x:v>
      </x:c>
      <x:c r="E151" s="1" t="n">
        <x:v>1089</x:v>
      </x:c>
    </x:row>
    <x:row r="152">
      <x:c r="A152" t="str">
        <x:v>CUAJIMALPA DE MORELOS</x:v>
      </x:c>
      <x:c r="B152" t="str">
        <x:v>San Lorenzo Acopilco</x:v>
      </x:c>
      <x:c r="C152" t="str">
        <x:v>Hombre</x:v>
      </x:c>
      <x:c r="D152" t="str">
        <x:v>g) 30 a 34 años</x:v>
      </x:c>
      <x:c r="E152" s="1" t="n">
        <x:v>1069</x:v>
      </x:c>
    </x:row>
    <x:row r="153">
      <x:c r="A153" t="str">
        <x:v>CUAJIMALPA DE MORELOS</x:v>
      </x:c>
      <x:c r="B153" t="str">
        <x:v>San Lorenzo Acopilco</x:v>
      </x:c>
      <x:c r="C153" t="str">
        <x:v>Hombre</x:v>
      </x:c>
      <x:c r="D153" t="str">
        <x:v>h) 35 a 39 años</x:v>
      </x:c>
      <x:c r="E153" s="1" t="n">
        <x:v>968</x:v>
      </x:c>
    </x:row>
    <x:row r="154">
      <x:c r="A154" t="str">
        <x:v>CUAJIMALPA DE MORELOS</x:v>
      </x:c>
      <x:c r="B154" t="str">
        <x:v>San Lorenzo Acopilco</x:v>
      </x:c>
      <x:c r="C154" t="str">
        <x:v>Hombre</x:v>
      </x:c>
      <x:c r="D154" t="str">
        <x:v>i) 40 a 44 años</x:v>
      </x:c>
      <x:c r="E154" s="1" t="n">
        <x:v>819</x:v>
      </x:c>
    </x:row>
    <x:row r="155">
      <x:c r="A155" t="str">
        <x:v>CUAJIMALPA DE MORELOS</x:v>
      </x:c>
      <x:c r="B155" t="str">
        <x:v>San Lorenzo Acopilco</x:v>
      </x:c>
      <x:c r="C155" t="str">
        <x:v>Hombre</x:v>
      </x:c>
      <x:c r="D155" t="str">
        <x:v>j) 45 a 49 años</x:v>
      </x:c>
      <x:c r="E155" s="1" t="n">
        <x:v>787</x:v>
      </x:c>
    </x:row>
    <x:row r="156">
      <x:c r="A156" t="str">
        <x:v>CUAJIMALPA DE MORELOS</x:v>
      </x:c>
      <x:c r="B156" t="str">
        <x:v>San Lorenzo Acopilco</x:v>
      </x:c>
      <x:c r="C156" t="str">
        <x:v>Hombre</x:v>
      </x:c>
      <x:c r="D156" t="str">
        <x:v>k) 50 a 54 años</x:v>
      </x:c>
      <x:c r="E156" s="1" t="n">
        <x:v>749</x:v>
      </x:c>
    </x:row>
    <x:row r="157">
      <x:c r="A157" t="str">
        <x:v>CUAJIMALPA DE MORELOS</x:v>
      </x:c>
      <x:c r="B157" t="str">
        <x:v>San Lorenzo Acopilco</x:v>
      </x:c>
      <x:c r="C157" t="str">
        <x:v>Hombre</x:v>
      </x:c>
      <x:c r="D157" t="str">
        <x:v>l) 55 a 59 años</x:v>
      </x:c>
      <x:c r="E157" s="1" t="n">
        <x:v>640</x:v>
      </x:c>
    </x:row>
    <x:row r="158">
      <x:c r="A158" t="str">
        <x:v>CUAJIMALPA DE MORELOS</x:v>
      </x:c>
      <x:c r="B158" t="str">
        <x:v>San Lorenzo Acopilco</x:v>
      </x:c>
      <x:c r="C158" t="str">
        <x:v>Hombre</x:v>
      </x:c>
      <x:c r="D158" t="str">
        <x:v>m) 60 a 64 años</x:v>
      </x:c>
      <x:c r="E158" s="1" t="n">
        <x:v>467</x:v>
      </x:c>
    </x:row>
    <x:row r="159">
      <x:c r="A159" t="str">
        <x:v>CUAJIMALPA DE MORELOS</x:v>
      </x:c>
      <x:c r="B159" t="str">
        <x:v>San Lorenzo Acopilco</x:v>
      </x:c>
      <x:c r="C159" t="str">
        <x:v>Hombre</x:v>
      </x:c>
      <x:c r="D159" t="str">
        <x:v>n) 65 a 69 años</x:v>
      </x:c>
      <x:c r="E159" s="1" t="n">
        <x:v>314</x:v>
      </x:c>
    </x:row>
    <x:row r="160">
      <x:c r="A160" t="str">
        <x:v>CUAJIMALPA DE MORELOS</x:v>
      </x:c>
      <x:c r="B160" t="str">
        <x:v>San Lorenzo Acopilco</x:v>
      </x:c>
      <x:c r="C160" t="str">
        <x:v>Hombre</x:v>
      </x:c>
      <x:c r="D160" t="str">
        <x:v>o) 70 a 74 años</x:v>
      </x:c>
      <x:c r="E160" s="1" t="n">
        <x:v>199</x:v>
      </x:c>
    </x:row>
    <x:row r="161">
      <x:c r="A161" t="str">
        <x:v>CUAJIMALPA DE MORELOS</x:v>
      </x:c>
      <x:c r="B161" t="str">
        <x:v>San Lorenzo Acopilco</x:v>
      </x:c>
      <x:c r="C161" t="str">
        <x:v>Hombre</x:v>
      </x:c>
      <x:c r="D161" t="str">
        <x:v>p) 75 a 79 años</x:v>
      </x:c>
      <x:c r="E161" s="1" t="n">
        <x:v>113</x:v>
      </x:c>
    </x:row>
    <x:row r="162">
      <x:c r="A162" t="str">
        <x:v>CUAJIMALPA DE MORELOS</x:v>
      </x:c>
      <x:c r="B162" t="str">
        <x:v>San Lorenzo Acopilco</x:v>
      </x:c>
      <x:c r="C162" t="str">
        <x:v>Hombre</x:v>
      </x:c>
      <x:c r="D162" t="str">
        <x:v>q) 80 a 84 años</x:v>
      </x:c>
      <x:c r="E162" s="1" t="n">
        <x:v>58</x:v>
      </x:c>
    </x:row>
    <x:row r="163">
      <x:c r="A163" t="str">
        <x:v>CUAJIMALPA DE MORELOS</x:v>
      </x:c>
      <x:c r="B163" t="str">
        <x:v>San Lorenzo Acopilco</x:v>
      </x:c>
      <x:c r="C163" t="str">
        <x:v>Hombre</x:v>
      </x:c>
      <x:c r="D163" t="str">
        <x:v>r) 85 años y más</x:v>
      </x:c>
      <x:c r="E163" s="1" t="n">
        <x:v>50</x:v>
      </x:c>
    </x:row>
    <x:row r="164">
      <x:c r="A164" t="str">
        <x:v>CUAJIMALPA DE MORELOS</x:v>
      </x:c>
      <x:c r="B164" t="str">
        <x:v>San Lorenzo Acopilco</x:v>
      </x:c>
      <x:c r="C164" t="str">
        <x:v>Mujer</x:v>
      </x:c>
      <x:c r="D164" t="str">
        <x:v>a) 0 a 4 años</x:v>
      </x:c>
      <x:c r="E164" s="1" t="n">
        <x:v>942</x:v>
      </x:c>
    </x:row>
    <x:row r="165">
      <x:c r="A165" t="str">
        <x:v>CUAJIMALPA DE MORELOS</x:v>
      </x:c>
      <x:c r="B165" t="str">
        <x:v>San Lorenzo Acopilco</x:v>
      </x:c>
      <x:c r="C165" t="str">
        <x:v>Mujer</x:v>
      </x:c>
      <x:c r="D165" t="str">
        <x:v>b) 5 a 9 años</x:v>
      </x:c>
      <x:c r="E165" s="1" t="n">
        <x:v>1098</x:v>
      </x:c>
    </x:row>
    <x:row r="166">
      <x:c r="A166" t="str">
        <x:v>CUAJIMALPA DE MORELOS</x:v>
      </x:c>
      <x:c r="B166" t="str">
        <x:v>San Lorenzo Acopilco</x:v>
      </x:c>
      <x:c r="C166" t="str">
        <x:v>Mujer</x:v>
      </x:c>
      <x:c r="D166" t="str">
        <x:v>c) 10 a 14 años</x:v>
      </x:c>
      <x:c r="E166" s="1" t="n">
        <x:v>1067</x:v>
      </x:c>
    </x:row>
    <x:row r="167">
      <x:c r="A167" t="str">
        <x:v>CUAJIMALPA DE MORELOS</x:v>
      </x:c>
      <x:c r="B167" t="str">
        <x:v>San Lorenzo Acopilco</x:v>
      </x:c>
      <x:c r="C167" t="str">
        <x:v>Mujer</x:v>
      </x:c>
      <x:c r="D167" t="str">
        <x:v>d) 15 a 19 años</x:v>
      </x:c>
      <x:c r="E167" s="1" t="n">
        <x:v>1025</x:v>
      </x:c>
    </x:row>
    <x:row r="168">
      <x:c r="A168" t="str">
        <x:v>CUAJIMALPA DE MORELOS</x:v>
      </x:c>
      <x:c r="B168" t="str">
        <x:v>San Lorenzo Acopilco</x:v>
      </x:c>
      <x:c r="C168" t="str">
        <x:v>Mujer</x:v>
      </x:c>
      <x:c r="D168" t="str">
        <x:v>e) 20 a 24 años</x:v>
      </x:c>
      <x:c r="E168" s="1" t="n">
        <x:v>1156</x:v>
      </x:c>
    </x:row>
    <x:row r="169">
      <x:c r="A169" t="str">
        <x:v>CUAJIMALPA DE MORELOS</x:v>
      </x:c>
      <x:c r="B169" t="str">
        <x:v>San Lorenzo Acopilco</x:v>
      </x:c>
      <x:c r="C169" t="str">
        <x:v>Mujer</x:v>
      </x:c>
      <x:c r="D169" t="str">
        <x:v>f) 25 a 29 años</x:v>
      </x:c>
      <x:c r="E169" s="1" t="n">
        <x:v>1112</x:v>
      </x:c>
    </x:row>
    <x:row r="170">
      <x:c r="A170" t="str">
        <x:v>CUAJIMALPA DE MORELOS</x:v>
      </x:c>
      <x:c r="B170" t="str">
        <x:v>San Lorenzo Acopilco</x:v>
      </x:c>
      <x:c r="C170" t="str">
        <x:v>Mujer</x:v>
      </x:c>
      <x:c r="D170" t="str">
        <x:v>g) 30 a 34 años</x:v>
      </x:c>
      <x:c r="E170" s="1" t="n">
        <x:v>1096</x:v>
      </x:c>
    </x:row>
    <x:row r="171">
      <x:c r="A171" t="str">
        <x:v>CUAJIMALPA DE MORELOS</x:v>
      </x:c>
      <x:c r="B171" t="str">
        <x:v>San Lorenzo Acopilco</x:v>
      </x:c>
      <x:c r="C171" t="str">
        <x:v>Mujer</x:v>
      </x:c>
      <x:c r="D171" t="str">
        <x:v>h) 35 a 39 años</x:v>
      </x:c>
      <x:c r="E171" s="1" t="n">
        <x:v>984</x:v>
      </x:c>
    </x:row>
    <x:row r="172">
      <x:c r="A172" t="str">
        <x:v>CUAJIMALPA DE MORELOS</x:v>
      </x:c>
      <x:c r="B172" t="str">
        <x:v>San Lorenzo Acopilco</x:v>
      </x:c>
      <x:c r="C172" t="str">
        <x:v>Mujer</x:v>
      </x:c>
      <x:c r="D172" t="str">
        <x:v>i) 40 a 44 años</x:v>
      </x:c>
      <x:c r="E172" s="1" t="n">
        <x:v>975</x:v>
      </x:c>
    </x:row>
    <x:row r="173">
      <x:c r="A173" t="str">
        <x:v>CUAJIMALPA DE MORELOS</x:v>
      </x:c>
      <x:c r="B173" t="str">
        <x:v>San Lorenzo Acopilco</x:v>
      </x:c>
      <x:c r="C173" t="str">
        <x:v>Mujer</x:v>
      </x:c>
      <x:c r="D173" t="str">
        <x:v>j) 45 a 49 años</x:v>
      </x:c>
      <x:c r="E173" s="1" t="n">
        <x:v>890</x:v>
      </x:c>
    </x:row>
    <x:row r="174">
      <x:c r="A174" t="str">
        <x:v>CUAJIMALPA DE MORELOS</x:v>
      </x:c>
      <x:c r="B174" t="str">
        <x:v>San Lorenzo Acopilco</x:v>
      </x:c>
      <x:c r="C174" t="str">
        <x:v>Mujer</x:v>
      </x:c>
      <x:c r="D174" t="str">
        <x:v>k) 50 a 54 años</x:v>
      </x:c>
      <x:c r="E174" s="1" t="n">
        <x:v>907</x:v>
      </x:c>
    </x:row>
    <x:row r="175">
      <x:c r="A175" t="str">
        <x:v>CUAJIMALPA DE MORELOS</x:v>
      </x:c>
      <x:c r="B175" t="str">
        <x:v>San Lorenzo Acopilco</x:v>
      </x:c>
      <x:c r="C175" t="str">
        <x:v>Mujer</x:v>
      </x:c>
      <x:c r="D175" t="str">
        <x:v>l) 55 a 59 años</x:v>
      </x:c>
      <x:c r="E175" s="1" t="n">
        <x:v>706</x:v>
      </x:c>
    </x:row>
    <x:row r="176">
      <x:c r="A176" t="str">
        <x:v>CUAJIMALPA DE MORELOS</x:v>
      </x:c>
      <x:c r="B176" t="str">
        <x:v>San Lorenzo Acopilco</x:v>
      </x:c>
      <x:c r="C176" t="str">
        <x:v>Mujer</x:v>
      </x:c>
      <x:c r="D176" t="str">
        <x:v>m) 60 a 64 años</x:v>
      </x:c>
      <x:c r="E176" s="1" t="n">
        <x:v>542</x:v>
      </x:c>
    </x:row>
    <x:row r="177">
      <x:c r="A177" t="str">
        <x:v>CUAJIMALPA DE MORELOS</x:v>
      </x:c>
      <x:c r="B177" t="str">
        <x:v>San Lorenzo Acopilco</x:v>
      </x:c>
      <x:c r="C177" t="str">
        <x:v>Mujer</x:v>
      </x:c>
      <x:c r="D177" t="str">
        <x:v>n) 65 a 69 años</x:v>
      </x:c>
      <x:c r="E177" s="1" t="n">
        <x:v>344</x:v>
      </x:c>
    </x:row>
    <x:row r="178">
      <x:c r="A178" t="str">
        <x:v>CUAJIMALPA DE MORELOS</x:v>
      </x:c>
      <x:c r="B178" t="str">
        <x:v>San Lorenzo Acopilco</x:v>
      </x:c>
      <x:c r="C178" t="str">
        <x:v>Mujer</x:v>
      </x:c>
      <x:c r="D178" t="str">
        <x:v>o) 70 a 74 años</x:v>
      </x:c>
      <x:c r="E178" s="1" t="n">
        <x:v>254</x:v>
      </x:c>
    </x:row>
    <x:row r="179">
      <x:c r="A179" t="str">
        <x:v>CUAJIMALPA DE MORELOS</x:v>
      </x:c>
      <x:c r="B179" t="str">
        <x:v>San Lorenzo Acopilco</x:v>
      </x:c>
      <x:c r="C179" t="str">
        <x:v>Mujer</x:v>
      </x:c>
      <x:c r="D179" t="str">
        <x:v>p) 75 a 79 años</x:v>
      </x:c>
      <x:c r="E179" s="1" t="n">
        <x:v>135</x:v>
      </x:c>
    </x:row>
    <x:row r="180">
      <x:c r="A180" t="str">
        <x:v>CUAJIMALPA DE MORELOS</x:v>
      </x:c>
      <x:c r="B180" t="str">
        <x:v>San Lorenzo Acopilco</x:v>
      </x:c>
      <x:c r="C180" t="str">
        <x:v>Mujer</x:v>
      </x:c>
      <x:c r="D180" t="str">
        <x:v>q) 80 a 84 años</x:v>
      </x:c>
      <x:c r="E180" s="1" t="n">
        <x:v>97</x:v>
      </x:c>
    </x:row>
    <x:row r="181">
      <x:c r="A181" t="str">
        <x:v>CUAJIMALPA DE MORELOS</x:v>
      </x:c>
      <x:c r="B181" t="str">
        <x:v>San Lorenzo Acopilco</x:v>
      </x:c>
      <x:c r="C181" t="str">
        <x:v>Mujer</x:v>
      </x:c>
      <x:c r="D181" t="str">
        <x:v>r) 85 años y más</x:v>
      </x:c>
      <x:c r="E181" s="1" t="n">
        <x:v>85</x:v>
      </x:c>
    </x:row>
    <x:row r="182">
      <x:c r="A182" t="str">
        <x:v>CUAJIMALPA DE MORELOS</x:v>
      </x:c>
      <x:c r="B182" t="str">
        <x:v>La Venta</x:v>
      </x:c>
      <x:c r="C182" t="str">
        <x:v>Hombre</x:v>
      </x:c>
      <x:c r="D182" t="str">
        <x:v>a) 0 a 4 años</x:v>
      </x:c>
      <x:c r="E182" s="1" t="n">
        <x:v>16</x:v>
      </x:c>
    </x:row>
    <x:row r="183">
      <x:c r="A183" t="str">
        <x:v>CUAJIMALPA DE MORELOS</x:v>
      </x:c>
      <x:c r="B183" t="str">
        <x:v>La Venta</x:v>
      </x:c>
      <x:c r="C183" t="str">
        <x:v>Hombre</x:v>
      </x:c>
      <x:c r="D183" t="str">
        <x:v>b) 5 a 9 años</x:v>
      </x:c>
      <x:c r="E183" s="1" t="n">
        <x:v>18</x:v>
      </x:c>
    </x:row>
    <x:row r="184">
      <x:c r="A184" t="str">
        <x:v>CUAJIMALPA DE MORELOS</x:v>
      </x:c>
      <x:c r="B184" t="str">
        <x:v>La Venta</x:v>
      </x:c>
      <x:c r="C184" t="str">
        <x:v>Hombre</x:v>
      </x:c>
      <x:c r="D184" t="str">
        <x:v>c) 10 a 14 años</x:v>
      </x:c>
      <x:c r="E184" s="1" t="n">
        <x:v>17</x:v>
      </x:c>
    </x:row>
    <x:row r="185">
      <x:c r="A185" t="str">
        <x:v>CUAJIMALPA DE MORELOS</x:v>
      </x:c>
      <x:c r="B185" t="str">
        <x:v>La Venta</x:v>
      </x:c>
      <x:c r="C185" t="str">
        <x:v>Hombre</x:v>
      </x:c>
      <x:c r="D185" t="str">
        <x:v>d) 15 a 19 años</x:v>
      </x:c>
      <x:c r="E185" s="1" t="n">
        <x:v>21</x:v>
      </x:c>
    </x:row>
    <x:row r="186">
      <x:c r="A186" t="str">
        <x:v>CUAJIMALPA DE MORELOS</x:v>
      </x:c>
      <x:c r="B186" t="str">
        <x:v>La Venta</x:v>
      </x:c>
      <x:c r="C186" t="str">
        <x:v>Hombre</x:v>
      </x:c>
      <x:c r="D186" t="str">
        <x:v>e) 20 a 24 años</x:v>
      </x:c>
      <x:c r="E186" s="1" t="n">
        <x:v>16</x:v>
      </x:c>
    </x:row>
    <x:row r="187">
      <x:c r="A187" t="str">
        <x:v>CUAJIMALPA DE MORELOS</x:v>
      </x:c>
      <x:c r="B187" t="str">
        <x:v>La Venta</x:v>
      </x:c>
      <x:c r="C187" t="str">
        <x:v>Hombre</x:v>
      </x:c>
      <x:c r="D187" t="str">
        <x:v>f) 25 a 29 años</x:v>
      </x:c>
      <x:c r="E187" s="1" t="n">
        <x:v>25</x:v>
      </x:c>
    </x:row>
    <x:row r="188">
      <x:c r="A188" t="str">
        <x:v>CUAJIMALPA DE MORELOS</x:v>
      </x:c>
      <x:c r="B188" t="str">
        <x:v>La Venta</x:v>
      </x:c>
      <x:c r="C188" t="str">
        <x:v>Hombre</x:v>
      </x:c>
      <x:c r="D188" t="str">
        <x:v>g) 30 a 34 años</x:v>
      </x:c>
      <x:c r="E188" s="1" t="n">
        <x:v>17</x:v>
      </x:c>
    </x:row>
    <x:row r="189">
      <x:c r="A189" t="str">
        <x:v>CUAJIMALPA DE MORELOS</x:v>
      </x:c>
      <x:c r="B189" t="str">
        <x:v>La Venta</x:v>
      </x:c>
      <x:c r="C189" t="str">
        <x:v>Hombre</x:v>
      </x:c>
      <x:c r="D189" t="str">
        <x:v>h) 35 a 39 años</x:v>
      </x:c>
      <x:c r="E189" s="1" t="n">
        <x:v>12</x:v>
      </x:c>
    </x:row>
    <x:row r="190">
      <x:c r="A190" t="str">
        <x:v>CUAJIMALPA DE MORELOS</x:v>
      </x:c>
      <x:c r="B190" t="str">
        <x:v>La Venta</x:v>
      </x:c>
      <x:c r="C190" t="str">
        <x:v>Hombre</x:v>
      </x:c>
      <x:c r="D190" t="str">
        <x:v>i) 40 a 44 años</x:v>
      </x:c>
      <x:c r="E190" s="1" t="n">
        <x:v>13</x:v>
      </x:c>
    </x:row>
    <x:row r="191">
      <x:c r="A191" t="str">
        <x:v>CUAJIMALPA DE MORELOS</x:v>
      </x:c>
      <x:c r="B191" t="str">
        <x:v>La Venta</x:v>
      </x:c>
      <x:c r="C191" t="str">
        <x:v>Hombre</x:v>
      </x:c>
      <x:c r="D191" t="str">
        <x:v>j) 45 a 49 años</x:v>
      </x:c>
      <x:c r="E191" s="1" t="n">
        <x:v>12</x:v>
      </x:c>
    </x:row>
    <x:row r="192">
      <x:c r="A192" t="str">
        <x:v>CUAJIMALPA DE MORELOS</x:v>
      </x:c>
      <x:c r="B192" t="str">
        <x:v>La Venta</x:v>
      </x:c>
      <x:c r="C192" t="str">
        <x:v>Hombre</x:v>
      </x:c>
      <x:c r="D192" t="str">
        <x:v>k) 50 a 54 años</x:v>
      </x:c>
      <x:c r="E192" s="1" t="n">
        <x:v>13</x:v>
      </x:c>
    </x:row>
    <x:row r="193">
      <x:c r="A193" t="str">
        <x:v>CUAJIMALPA DE MORELOS</x:v>
      </x:c>
      <x:c r="B193" t="str">
        <x:v>La Venta</x:v>
      </x:c>
      <x:c r="C193" t="str">
        <x:v>Hombre</x:v>
      </x:c>
      <x:c r="D193" t="str">
        <x:v>l) 55 a 59 años</x:v>
      </x:c>
      <x:c r="E193" s="1" t="n">
        <x:v>8</x:v>
      </x:c>
    </x:row>
    <x:row r="194">
      <x:c r="A194" t="str">
        <x:v>CUAJIMALPA DE MORELOS</x:v>
      </x:c>
      <x:c r="B194" t="str">
        <x:v>La Venta</x:v>
      </x:c>
      <x:c r="C194" t="str">
        <x:v>Hombre</x:v>
      </x:c>
      <x:c r="D194" t="str">
        <x:v>m) 60 a 64 años</x:v>
      </x:c>
      <x:c r="E194" s="1" t="n">
        <x:v>12</x:v>
      </x:c>
    </x:row>
    <x:row r="195">
      <x:c r="A195" t="str">
        <x:v>CUAJIMALPA DE MORELOS</x:v>
      </x:c>
      <x:c r="B195" t="str">
        <x:v>La Venta</x:v>
      </x:c>
      <x:c r="C195" t="str">
        <x:v>Hombre</x:v>
      </x:c>
      <x:c r="D195" t="str">
        <x:v>n) 65 a 69 años</x:v>
      </x:c>
      <x:c r="E195" s="1" t="n">
        <x:v>9</x:v>
      </x:c>
    </x:row>
    <x:row r="196">
      <x:c r="A196" t="str">
        <x:v>CUAJIMALPA DE MORELOS</x:v>
      </x:c>
      <x:c r="B196" t="str">
        <x:v>La Venta</x:v>
      </x:c>
      <x:c r="C196" t="str">
        <x:v>Hombre</x:v>
      </x:c>
      <x:c r="D196" t="str">
        <x:v>o) 70 a 74 años</x:v>
      </x:c>
      <x:c r="E196" s="1" t="n">
        <x:v>3</x:v>
      </x:c>
    </x:row>
    <x:row r="197">
      <x:c r="A197" t="str">
        <x:v>CUAJIMALPA DE MORELOS</x:v>
      </x:c>
      <x:c r="B197" t="str">
        <x:v>La Venta</x:v>
      </x:c>
      <x:c r="C197" t="str">
        <x:v>Hombre</x:v>
      </x:c>
      <x:c r="D197" t="str">
        <x:v>p) 75 a 79 años</x:v>
      </x:c>
      <x:c r="E197" s="1" t="n">
        <x:v>1</x:v>
      </x:c>
    </x:row>
    <x:row r="198">
      <x:c r="A198" t="str">
        <x:v>CUAJIMALPA DE MORELOS</x:v>
      </x:c>
      <x:c r="B198" t="str">
        <x:v>La Venta</x:v>
      </x:c>
      <x:c r="C198" t="str">
        <x:v>Hombre</x:v>
      </x:c>
      <x:c r="D198" t="str">
        <x:v>q) 80 a 84 años</x:v>
      </x:c>
      <x:c r="E198" s="1" t="n">
        <x:v>3</x:v>
      </x:c>
    </x:row>
    <x:row r="199">
      <x:c r="A199" t="str">
        <x:v>CUAJIMALPA DE MORELOS</x:v>
      </x:c>
      <x:c r="B199" t="str">
        <x:v>La Venta</x:v>
      </x:c>
      <x:c r="C199" t="str">
        <x:v>Hombre</x:v>
      </x:c>
      <x:c r="D199" t="str">
        <x:v>r) 85 años y más</x:v>
      </x:c>
      <x:c r="E199" s="1" t="n">
        <x:v>0</x:v>
      </x:c>
    </x:row>
    <x:row r="200">
      <x:c r="A200" t="str">
        <x:v>CUAJIMALPA DE MORELOS</x:v>
      </x:c>
      <x:c r="B200" t="str">
        <x:v>La Venta</x:v>
      </x:c>
      <x:c r="C200" t="str">
        <x:v>Mujer</x:v>
      </x:c>
      <x:c r="D200" t="str">
        <x:v>a) 0 a 4 años</x:v>
      </x:c>
      <x:c r="E200" s="1" t="n">
        <x:v>15</x:v>
      </x:c>
    </x:row>
    <x:row r="201">
      <x:c r="A201" t="str">
        <x:v>CUAJIMALPA DE MORELOS</x:v>
      </x:c>
      <x:c r="B201" t="str">
        <x:v>La Venta</x:v>
      </x:c>
      <x:c r="C201" t="str">
        <x:v>Mujer</x:v>
      </x:c>
      <x:c r="D201" t="str">
        <x:v>b) 5 a 9 años</x:v>
      </x:c>
      <x:c r="E201" s="1" t="n">
        <x:v>22</x:v>
      </x:c>
    </x:row>
    <x:row r="202">
      <x:c r="A202" t="str">
        <x:v>CUAJIMALPA DE MORELOS</x:v>
      </x:c>
      <x:c r="B202" t="str">
        <x:v>La Venta</x:v>
      </x:c>
      <x:c r="C202" t="str">
        <x:v>Mujer</x:v>
      </x:c>
      <x:c r="D202" t="str">
        <x:v>c) 10 a 14 años</x:v>
      </x:c>
      <x:c r="E202" s="1" t="n">
        <x:v>21</x:v>
      </x:c>
    </x:row>
    <x:row r="203">
      <x:c r="A203" t="str">
        <x:v>CUAJIMALPA DE MORELOS</x:v>
      </x:c>
      <x:c r="B203" t="str">
        <x:v>La Venta</x:v>
      </x:c>
      <x:c r="C203" t="str">
        <x:v>Mujer</x:v>
      </x:c>
      <x:c r="D203" t="str">
        <x:v>d) 15 a 19 años</x:v>
      </x:c>
      <x:c r="E203" s="1" t="n">
        <x:v>19</x:v>
      </x:c>
    </x:row>
    <x:row r="204">
      <x:c r="A204" t="str">
        <x:v>CUAJIMALPA DE MORELOS</x:v>
      </x:c>
      <x:c r="B204" t="str">
        <x:v>La Venta</x:v>
      </x:c>
      <x:c r="C204" t="str">
        <x:v>Mujer</x:v>
      </x:c>
      <x:c r="D204" t="str">
        <x:v>e) 20 a 24 años</x:v>
      </x:c>
      <x:c r="E204" s="1" t="n">
        <x:v>25</x:v>
      </x:c>
    </x:row>
    <x:row r="205">
      <x:c r="A205" t="str">
        <x:v>CUAJIMALPA DE MORELOS</x:v>
      </x:c>
      <x:c r="B205" t="str">
        <x:v>La Venta</x:v>
      </x:c>
      <x:c r="C205" t="str">
        <x:v>Mujer</x:v>
      </x:c>
      <x:c r="D205" t="str">
        <x:v>f) 25 a 29 años</x:v>
      </x:c>
      <x:c r="E205" s="1" t="n">
        <x:v>21</x:v>
      </x:c>
    </x:row>
    <x:row r="206">
      <x:c r="A206" t="str">
        <x:v>CUAJIMALPA DE MORELOS</x:v>
      </x:c>
      <x:c r="B206" t="str">
        <x:v>La Venta</x:v>
      </x:c>
      <x:c r="C206" t="str">
        <x:v>Mujer</x:v>
      </x:c>
      <x:c r="D206" t="str">
        <x:v>g) 30 a 34 años</x:v>
      </x:c>
      <x:c r="E206" s="1" t="n">
        <x:v>24</x:v>
      </x:c>
    </x:row>
    <x:row r="207">
      <x:c r="A207" t="str">
        <x:v>CUAJIMALPA DE MORELOS</x:v>
      </x:c>
      <x:c r="B207" t="str">
        <x:v>La Venta</x:v>
      </x:c>
      <x:c r="C207" t="str">
        <x:v>Mujer</x:v>
      </x:c>
      <x:c r="D207" t="str">
        <x:v>h) 35 a 39 años</x:v>
      </x:c>
      <x:c r="E207" s="1" t="n">
        <x:v>14</x:v>
      </x:c>
    </x:row>
    <x:row r="208">
      <x:c r="A208" t="str">
        <x:v>CUAJIMALPA DE MORELOS</x:v>
      </x:c>
      <x:c r="B208" t="str">
        <x:v>La Venta</x:v>
      </x:c>
      <x:c r="C208" t="str">
        <x:v>Mujer</x:v>
      </x:c>
      <x:c r="D208" t="str">
        <x:v>i) 40 a 44 años</x:v>
      </x:c>
      <x:c r="E208" s="1" t="n">
        <x:v>17</x:v>
      </x:c>
    </x:row>
    <x:row r="209">
      <x:c r="A209" t="str">
        <x:v>CUAJIMALPA DE MORELOS</x:v>
      </x:c>
      <x:c r="B209" t="str">
        <x:v>La Venta</x:v>
      </x:c>
      <x:c r="C209" t="str">
        <x:v>Mujer</x:v>
      </x:c>
      <x:c r="D209" t="str">
        <x:v>j) 45 a 49 años</x:v>
      </x:c>
      <x:c r="E209" s="1" t="n">
        <x:v>22</x:v>
      </x:c>
    </x:row>
    <x:row r="210">
      <x:c r="A210" t="str">
        <x:v>CUAJIMALPA DE MORELOS</x:v>
      </x:c>
      <x:c r="B210" t="str">
        <x:v>La Venta</x:v>
      </x:c>
      <x:c r="C210" t="str">
        <x:v>Mujer</x:v>
      </x:c>
      <x:c r="D210" t="str">
        <x:v>k) 50 a 54 años</x:v>
      </x:c>
      <x:c r="E210" s="1" t="n">
        <x:v>19</x:v>
      </x:c>
    </x:row>
    <x:row r="211">
      <x:c r="A211" t="str">
        <x:v>CUAJIMALPA DE MORELOS</x:v>
      </x:c>
      <x:c r="B211" t="str">
        <x:v>La Venta</x:v>
      </x:c>
      <x:c r="C211" t="str">
        <x:v>Mujer</x:v>
      </x:c>
      <x:c r="D211" t="str">
        <x:v>l) 55 a 59 años</x:v>
      </x:c>
      <x:c r="E211" s="1" t="n">
        <x:v>16</x:v>
      </x:c>
    </x:row>
    <x:row r="212">
      <x:c r="A212" t="str">
        <x:v>CUAJIMALPA DE MORELOS</x:v>
      </x:c>
      <x:c r="B212" t="str">
        <x:v>La Venta</x:v>
      </x:c>
      <x:c r="C212" t="str">
        <x:v>Mujer</x:v>
      </x:c>
      <x:c r="D212" t="str">
        <x:v>m) 60 a 64 años</x:v>
      </x:c>
      <x:c r="E212" s="1" t="n">
        <x:v>15</x:v>
      </x:c>
    </x:row>
    <x:row r="213">
      <x:c r="A213" t="str">
        <x:v>CUAJIMALPA DE MORELOS</x:v>
      </x:c>
      <x:c r="B213" t="str">
        <x:v>La Venta</x:v>
      </x:c>
      <x:c r="C213" t="str">
        <x:v>Mujer</x:v>
      </x:c>
      <x:c r="D213" t="str">
        <x:v>n) 65 a 69 años</x:v>
      </x:c>
      <x:c r="E213" s="1" t="n">
        <x:v>3</x:v>
      </x:c>
    </x:row>
    <x:row r="214">
      <x:c r="A214" t="str">
        <x:v>CUAJIMALPA DE MORELOS</x:v>
      </x:c>
      <x:c r="B214" t="str">
        <x:v>La Venta</x:v>
      </x:c>
      <x:c r="C214" t="str">
        <x:v>Mujer</x:v>
      </x:c>
      <x:c r="D214" t="str">
        <x:v>o) 70 a 74 años</x:v>
      </x:c>
      <x:c r="E214" s="1" t="n">
        <x:v>4</x:v>
      </x:c>
    </x:row>
    <x:row r="215">
      <x:c r="A215" t="str">
        <x:v>CUAJIMALPA DE MORELOS</x:v>
      </x:c>
      <x:c r="B215" t="str">
        <x:v>La Venta</x:v>
      </x:c>
      <x:c r="C215" t="str">
        <x:v>Mujer</x:v>
      </x:c>
      <x:c r="D215" t="str">
        <x:v>p) 75 a 79 años</x:v>
      </x:c>
      <x:c r="E215" s="1" t="n">
        <x:v>8</x:v>
      </x:c>
    </x:row>
    <x:row r="216">
      <x:c r="A216" t="str">
        <x:v>CUAJIMALPA DE MORELOS</x:v>
      </x:c>
      <x:c r="B216" t="str">
        <x:v>La Venta</x:v>
      </x:c>
      <x:c r="C216" t="str">
        <x:v>Mujer</x:v>
      </x:c>
      <x:c r="D216" t="str">
        <x:v>q) 80 a 84 años</x:v>
      </x:c>
      <x:c r="E216" s="1" t="n">
        <x:v>4</x:v>
      </x:c>
    </x:row>
    <x:row r="217">
      <x:c r="A217" t="str">
        <x:v>CUAJIMALPA DE MORELOS</x:v>
      </x:c>
      <x:c r="B217" t="str">
        <x:v>La Venta</x:v>
      </x:c>
      <x:c r="C217" t="str">
        <x:v>Mujer</x:v>
      </x:c>
      <x:c r="D217" t="str">
        <x:v>r) 85 años y más</x:v>
      </x:c>
      <x:c r="E217" s="1" t="n">
        <x:v>1</x:v>
      </x:c>
    </x:row>
    <x:row r="218">
      <x:c r="A218" t="str">
        <x:v>CUAJIMALPA DE MORELOS</x:v>
      </x:c>
      <x:c r="B218" t="str">
        <x:v>Puerto las Cruces (Monte las Cruces)</x:v>
      </x:c>
      <x:c r="C218" t="str">
        <x:v>Hombre</x:v>
      </x:c>
      <x:c r="D218" t="str">
        <x:v>a) 0 a 4 años</x:v>
      </x:c>
      <x:c r="E218" s="1" t="n">
        <x:v>49</x:v>
      </x:c>
    </x:row>
    <x:row r="219">
      <x:c r="A219" t="str">
        <x:v>CUAJIMALPA DE MORELOS</x:v>
      </x:c>
      <x:c r="B219" t="str">
        <x:v>Puerto las Cruces (Monte las Cruces)</x:v>
      </x:c>
      <x:c r="C219" t="str">
        <x:v>Hombre</x:v>
      </x:c>
      <x:c r="D219" t="str">
        <x:v>b) 5 a 9 años</x:v>
      </x:c>
      <x:c r="E219" s="1" t="n">
        <x:v>44</x:v>
      </x:c>
    </x:row>
    <x:row r="220">
      <x:c r="A220" t="str">
        <x:v>CUAJIMALPA DE MORELOS</x:v>
      </x:c>
      <x:c r="B220" t="str">
        <x:v>Puerto las Cruces (Monte las Cruces)</x:v>
      </x:c>
      <x:c r="C220" t="str">
        <x:v>Hombre</x:v>
      </x:c>
      <x:c r="D220" t="str">
        <x:v>c) 10 a 14 años</x:v>
      </x:c>
      <x:c r="E220" s="1" t="n">
        <x:v>51</x:v>
      </x:c>
    </x:row>
    <x:row r="221">
      <x:c r="A221" t="str">
        <x:v>CUAJIMALPA DE MORELOS</x:v>
      </x:c>
      <x:c r="B221" t="str">
        <x:v>Puerto las Cruces (Monte las Cruces)</x:v>
      </x:c>
      <x:c r="C221" t="str">
        <x:v>Hombre</x:v>
      </x:c>
      <x:c r="D221" t="str">
        <x:v>d) 15 a 19 años</x:v>
      </x:c>
      <x:c r="E221" s="1" t="n">
        <x:v>49</x:v>
      </x:c>
    </x:row>
    <x:row r="222">
      <x:c r="A222" t="str">
        <x:v>CUAJIMALPA DE MORELOS</x:v>
      </x:c>
      <x:c r="B222" t="str">
        <x:v>Puerto las Cruces (Monte las Cruces)</x:v>
      </x:c>
      <x:c r="C222" t="str">
        <x:v>Hombre</x:v>
      </x:c>
      <x:c r="D222" t="str">
        <x:v>e) 20 a 24 años</x:v>
      </x:c>
      <x:c r="E222" s="1" t="n">
        <x:v>47</x:v>
      </x:c>
    </x:row>
    <x:row r="223">
      <x:c r="A223" t="str">
        <x:v>CUAJIMALPA DE MORELOS</x:v>
      </x:c>
      <x:c r="B223" t="str">
        <x:v>Puerto las Cruces (Monte las Cruces)</x:v>
      </x:c>
      <x:c r="C223" t="str">
        <x:v>Hombre</x:v>
      </x:c>
      <x:c r="D223" t="str">
        <x:v>f) 25 a 29 años</x:v>
      </x:c>
      <x:c r="E223" s="1" t="n">
        <x:v>54</x:v>
      </x:c>
    </x:row>
    <x:row r="224">
      <x:c r="A224" t="str">
        <x:v>CUAJIMALPA DE MORELOS</x:v>
      </x:c>
      <x:c r="B224" t="str">
        <x:v>Puerto las Cruces (Monte las Cruces)</x:v>
      </x:c>
      <x:c r="C224" t="str">
        <x:v>Hombre</x:v>
      </x:c>
      <x:c r="D224" t="str">
        <x:v>g) 30 a 34 años</x:v>
      </x:c>
      <x:c r="E224" s="1" t="n">
        <x:v>64</x:v>
      </x:c>
    </x:row>
    <x:row r="225">
      <x:c r="A225" t="str">
        <x:v>CUAJIMALPA DE MORELOS</x:v>
      </x:c>
      <x:c r="B225" t="str">
        <x:v>Puerto las Cruces (Monte las Cruces)</x:v>
      </x:c>
      <x:c r="C225" t="str">
        <x:v>Hombre</x:v>
      </x:c>
      <x:c r="D225" t="str">
        <x:v>h) 35 a 39 años</x:v>
      </x:c>
      <x:c r="E225" s="1" t="n">
        <x:v>42</x:v>
      </x:c>
    </x:row>
    <x:row r="226">
      <x:c r="A226" t="str">
        <x:v>CUAJIMALPA DE MORELOS</x:v>
      </x:c>
      <x:c r="B226" t="str">
        <x:v>Puerto las Cruces (Monte las Cruces)</x:v>
      </x:c>
      <x:c r="C226" t="str">
        <x:v>Hombre</x:v>
      </x:c>
      <x:c r="D226" t="str">
        <x:v>i) 40 a 44 años</x:v>
      </x:c>
      <x:c r="E226" s="1" t="n">
        <x:v>42</x:v>
      </x:c>
    </x:row>
    <x:row r="227">
      <x:c r="A227" t="str">
        <x:v>CUAJIMALPA DE MORELOS</x:v>
      </x:c>
      <x:c r="B227" t="str">
        <x:v>Puerto las Cruces (Monte las Cruces)</x:v>
      </x:c>
      <x:c r="C227" t="str">
        <x:v>Hombre</x:v>
      </x:c>
      <x:c r="D227" t="str">
        <x:v>j) 45 a 49 años</x:v>
      </x:c>
      <x:c r="E227" s="1" t="n">
        <x:v>31</x:v>
      </x:c>
    </x:row>
    <x:row r="228">
      <x:c r="A228" t="str">
        <x:v>CUAJIMALPA DE MORELOS</x:v>
      </x:c>
      <x:c r="B228" t="str">
        <x:v>Puerto las Cruces (Monte las Cruces)</x:v>
      </x:c>
      <x:c r="C228" t="str">
        <x:v>Hombre</x:v>
      </x:c>
      <x:c r="D228" t="str">
        <x:v>k) 50 a 54 años</x:v>
      </x:c>
      <x:c r="E228" s="1" t="n">
        <x:v>35</x:v>
      </x:c>
    </x:row>
    <x:row r="229">
      <x:c r="A229" t="str">
        <x:v>CUAJIMALPA DE MORELOS</x:v>
      </x:c>
      <x:c r="B229" t="str">
        <x:v>Puerto las Cruces (Monte las Cruces)</x:v>
      </x:c>
      <x:c r="C229" t="str">
        <x:v>Hombre</x:v>
      </x:c>
      <x:c r="D229" t="str">
        <x:v>l) 55 a 59 años</x:v>
      </x:c>
      <x:c r="E229" s="1" t="n">
        <x:v>29</x:v>
      </x:c>
    </x:row>
    <x:row r="230">
      <x:c r="A230" t="str">
        <x:v>CUAJIMALPA DE MORELOS</x:v>
      </x:c>
      <x:c r="B230" t="str">
        <x:v>Puerto las Cruces (Monte las Cruces)</x:v>
      </x:c>
      <x:c r="C230" t="str">
        <x:v>Hombre</x:v>
      </x:c>
      <x:c r="D230" t="str">
        <x:v>m) 60 a 64 años</x:v>
      </x:c>
      <x:c r="E230" s="1" t="n">
        <x:v>24</x:v>
      </x:c>
    </x:row>
    <x:row r="231">
      <x:c r="A231" t="str">
        <x:v>CUAJIMALPA DE MORELOS</x:v>
      </x:c>
      <x:c r="B231" t="str">
        <x:v>Puerto las Cruces (Monte las Cruces)</x:v>
      </x:c>
      <x:c r="C231" t="str">
        <x:v>Hombre</x:v>
      </x:c>
      <x:c r="D231" t="str">
        <x:v>n) 65 a 69 años</x:v>
      </x:c>
      <x:c r="E231" s="1" t="n">
        <x:v>12</x:v>
      </x:c>
    </x:row>
    <x:row r="232">
      <x:c r="A232" t="str">
        <x:v>CUAJIMALPA DE MORELOS</x:v>
      </x:c>
      <x:c r="B232" t="str">
        <x:v>Puerto las Cruces (Monte las Cruces)</x:v>
      </x:c>
      <x:c r="C232" t="str">
        <x:v>Hombre</x:v>
      </x:c>
      <x:c r="D232" t="str">
        <x:v>o) 70 a 74 años</x:v>
      </x:c>
      <x:c r="E232" s="1" t="n">
        <x:v>7</x:v>
      </x:c>
    </x:row>
    <x:row r="233">
      <x:c r="A233" t="str">
        <x:v>CUAJIMALPA DE MORELOS</x:v>
      </x:c>
      <x:c r="B233" t="str">
        <x:v>Puerto las Cruces (Monte las Cruces)</x:v>
      </x:c>
      <x:c r="C233" t="str">
        <x:v>Hombre</x:v>
      </x:c>
      <x:c r="D233" t="str">
        <x:v>p) 75 a 79 años</x:v>
      </x:c>
      <x:c r="E233" s="1" t="n">
        <x:v>2</x:v>
      </x:c>
    </x:row>
    <x:row r="234">
      <x:c r="A234" t="str">
        <x:v>CUAJIMALPA DE MORELOS</x:v>
      </x:c>
      <x:c r="B234" t="str">
        <x:v>Puerto las Cruces (Monte las Cruces)</x:v>
      </x:c>
      <x:c r="C234" t="str">
        <x:v>Hombre</x:v>
      </x:c>
      <x:c r="D234" t="str">
        <x:v>q) 80 a 84 años</x:v>
      </x:c>
      <x:c r="E234" s="1" t="n">
        <x:v>0</x:v>
      </x:c>
    </x:row>
    <x:row r="235">
      <x:c r="A235" t="str">
        <x:v>CUAJIMALPA DE MORELOS</x:v>
      </x:c>
      <x:c r="B235" t="str">
        <x:v>Puerto las Cruces (Monte las Cruces)</x:v>
      </x:c>
      <x:c r="C235" t="str">
        <x:v>Hombre</x:v>
      </x:c>
      <x:c r="D235" t="str">
        <x:v>r) 85 años y más</x:v>
      </x:c>
      <x:c r="E235" s="1" t="n">
        <x:v>1</x:v>
      </x:c>
    </x:row>
    <x:row r="236">
      <x:c r="A236" t="str">
        <x:v>CUAJIMALPA DE MORELOS</x:v>
      </x:c>
      <x:c r="B236" t="str">
        <x:v>Puerto las Cruces (Monte las Cruces)</x:v>
      </x:c>
      <x:c r="C236" t="str">
        <x:v>Mujer</x:v>
      </x:c>
      <x:c r="D236" t="str">
        <x:v>a) 0 a 4 años</x:v>
      </x:c>
      <x:c r="E236" s="1" t="n">
        <x:v>53</x:v>
      </x:c>
    </x:row>
    <x:row r="237">
      <x:c r="A237" t="str">
        <x:v>CUAJIMALPA DE MORELOS</x:v>
      </x:c>
      <x:c r="B237" t="str">
        <x:v>Puerto las Cruces (Monte las Cruces)</x:v>
      </x:c>
      <x:c r="C237" t="str">
        <x:v>Mujer</x:v>
      </x:c>
      <x:c r="D237" t="str">
        <x:v>b) 5 a 9 años</x:v>
      </x:c>
      <x:c r="E237" s="1" t="n">
        <x:v>69</x:v>
      </x:c>
    </x:row>
    <x:row r="238">
      <x:c r="A238" t="str">
        <x:v>CUAJIMALPA DE MORELOS</x:v>
      </x:c>
      <x:c r="B238" t="str">
        <x:v>Puerto las Cruces (Monte las Cruces)</x:v>
      </x:c>
      <x:c r="C238" t="str">
        <x:v>Mujer</x:v>
      </x:c>
      <x:c r="D238" t="str">
        <x:v>c) 10 a 14 años</x:v>
      </x:c>
      <x:c r="E238" s="1" t="n">
        <x:v>50</x:v>
      </x:c>
    </x:row>
    <x:row r="239">
      <x:c r="A239" t="str">
        <x:v>CUAJIMALPA DE MORELOS</x:v>
      </x:c>
      <x:c r="B239" t="str">
        <x:v>Puerto las Cruces (Monte las Cruces)</x:v>
      </x:c>
      <x:c r="C239" t="str">
        <x:v>Mujer</x:v>
      </x:c>
      <x:c r="D239" t="str">
        <x:v>d) 15 a 19 años</x:v>
      </x:c>
      <x:c r="E239" s="1" t="n">
        <x:v>54</x:v>
      </x:c>
    </x:row>
    <x:row r="240">
      <x:c r="A240" t="str">
        <x:v>CUAJIMALPA DE MORELOS</x:v>
      </x:c>
      <x:c r="B240" t="str">
        <x:v>Puerto las Cruces (Monte las Cruces)</x:v>
      </x:c>
      <x:c r="C240" t="str">
        <x:v>Mujer</x:v>
      </x:c>
      <x:c r="D240" t="str">
        <x:v>e) 20 a 24 años</x:v>
      </x:c>
      <x:c r="E240" s="1" t="n">
        <x:v>57</x:v>
      </x:c>
    </x:row>
    <x:row r="241">
      <x:c r="A241" t="str">
        <x:v>CUAJIMALPA DE MORELOS</x:v>
      </x:c>
      <x:c r="B241" t="str">
        <x:v>Puerto las Cruces (Monte las Cruces)</x:v>
      </x:c>
      <x:c r="C241" t="str">
        <x:v>Mujer</x:v>
      </x:c>
      <x:c r="D241" t="str">
        <x:v>f) 25 a 29 años</x:v>
      </x:c>
      <x:c r="E241" s="1" t="n">
        <x:v>58</x:v>
      </x:c>
    </x:row>
    <x:row r="242">
      <x:c r="A242" t="str">
        <x:v>CUAJIMALPA DE MORELOS</x:v>
      </x:c>
      <x:c r="B242" t="str">
        <x:v>Puerto las Cruces (Monte las Cruces)</x:v>
      </x:c>
      <x:c r="C242" t="str">
        <x:v>Mujer</x:v>
      </x:c>
      <x:c r="D242" t="str">
        <x:v>g) 30 a 34 años</x:v>
      </x:c>
      <x:c r="E242" s="1" t="n">
        <x:v>58</x:v>
      </x:c>
    </x:row>
    <x:row r="243">
      <x:c r="A243" t="str">
        <x:v>CUAJIMALPA DE MORELOS</x:v>
      </x:c>
      <x:c r="B243" t="str">
        <x:v>Puerto las Cruces (Monte las Cruces)</x:v>
      </x:c>
      <x:c r="C243" t="str">
        <x:v>Mujer</x:v>
      </x:c>
      <x:c r="D243" t="str">
        <x:v>h) 35 a 39 años</x:v>
      </x:c>
      <x:c r="E243" s="1" t="n">
        <x:v>58</x:v>
      </x:c>
    </x:row>
    <x:row r="244">
      <x:c r="A244" t="str">
        <x:v>CUAJIMALPA DE MORELOS</x:v>
      </x:c>
      <x:c r="B244" t="str">
        <x:v>Puerto las Cruces (Monte las Cruces)</x:v>
      </x:c>
      <x:c r="C244" t="str">
        <x:v>Mujer</x:v>
      </x:c>
      <x:c r="D244" t="str">
        <x:v>i) 40 a 44 años</x:v>
      </x:c>
      <x:c r="E244" s="1" t="n">
        <x:v>42</x:v>
      </x:c>
    </x:row>
    <x:row r="245">
      <x:c r="A245" t="str">
        <x:v>CUAJIMALPA DE MORELOS</x:v>
      </x:c>
      <x:c r="B245" t="str">
        <x:v>Puerto las Cruces (Monte las Cruces)</x:v>
      </x:c>
      <x:c r="C245" t="str">
        <x:v>Mujer</x:v>
      </x:c>
      <x:c r="D245" t="str">
        <x:v>j) 45 a 49 años</x:v>
      </x:c>
      <x:c r="E245" s="1" t="n">
        <x:v>41</x:v>
      </x:c>
    </x:row>
    <x:row r="246">
      <x:c r="A246" t="str">
        <x:v>CUAJIMALPA DE MORELOS</x:v>
      </x:c>
      <x:c r="B246" t="str">
        <x:v>Puerto las Cruces (Monte las Cruces)</x:v>
      </x:c>
      <x:c r="C246" t="str">
        <x:v>Mujer</x:v>
      </x:c>
      <x:c r="D246" t="str">
        <x:v>k) 50 a 54 años</x:v>
      </x:c>
      <x:c r="E246" s="1" t="n">
        <x:v>40</x:v>
      </x:c>
    </x:row>
    <x:row r="247">
      <x:c r="A247" t="str">
        <x:v>CUAJIMALPA DE MORELOS</x:v>
      </x:c>
      <x:c r="B247" t="str">
        <x:v>Puerto las Cruces (Monte las Cruces)</x:v>
      </x:c>
      <x:c r="C247" t="str">
        <x:v>Mujer</x:v>
      </x:c>
      <x:c r="D247" t="str">
        <x:v>l) 55 a 59 años</x:v>
      </x:c>
      <x:c r="E247" s="1" t="n">
        <x:v>19</x:v>
      </x:c>
    </x:row>
    <x:row r="248">
      <x:c r="A248" t="str">
        <x:v>CUAJIMALPA DE MORELOS</x:v>
      </x:c>
      <x:c r="B248" t="str">
        <x:v>Puerto las Cruces (Monte las Cruces)</x:v>
      </x:c>
      <x:c r="C248" t="str">
        <x:v>Mujer</x:v>
      </x:c>
      <x:c r="D248" t="str">
        <x:v>m) 60 a 64 años</x:v>
      </x:c>
      <x:c r="E248" s="1" t="n">
        <x:v>24</x:v>
      </x:c>
    </x:row>
    <x:row r="249">
      <x:c r="A249" t="str">
        <x:v>CUAJIMALPA DE MORELOS</x:v>
      </x:c>
      <x:c r="B249" t="str">
        <x:v>Puerto las Cruces (Monte las Cruces)</x:v>
      </x:c>
      <x:c r="C249" t="str">
        <x:v>Mujer</x:v>
      </x:c>
      <x:c r="D249" t="str">
        <x:v>n) 65 a 69 años</x:v>
      </x:c>
      <x:c r="E249" s="1" t="n">
        <x:v>12</x:v>
      </x:c>
    </x:row>
    <x:row r="250">
      <x:c r="A250" t="str">
        <x:v>CUAJIMALPA DE MORELOS</x:v>
      </x:c>
      <x:c r="B250" t="str">
        <x:v>Puerto las Cruces (Monte las Cruces)</x:v>
      </x:c>
      <x:c r="C250" t="str">
        <x:v>Mujer</x:v>
      </x:c>
      <x:c r="D250" t="str">
        <x:v>o) 70 a 74 años</x:v>
      </x:c>
      <x:c r="E250" s="1" t="n">
        <x:v>4</x:v>
      </x:c>
    </x:row>
    <x:row r="251">
      <x:c r="A251" t="str">
        <x:v>CUAJIMALPA DE MORELOS</x:v>
      </x:c>
      <x:c r="B251" t="str">
        <x:v>Puerto las Cruces (Monte las Cruces)</x:v>
      </x:c>
      <x:c r="C251" t="str">
        <x:v>Mujer</x:v>
      </x:c>
      <x:c r="D251" t="str">
        <x:v>p) 75 a 79 años</x:v>
      </x:c>
      <x:c r="E251" s="1" t="n">
        <x:v>5</x:v>
      </x:c>
    </x:row>
    <x:row r="252">
      <x:c r="A252" t="str">
        <x:v>CUAJIMALPA DE MORELOS</x:v>
      </x:c>
      <x:c r="B252" t="str">
        <x:v>Puerto las Cruces (Monte las Cruces)</x:v>
      </x:c>
      <x:c r="C252" t="str">
        <x:v>Mujer</x:v>
      </x:c>
      <x:c r="D252" t="str">
        <x:v>q) 80 a 84 años</x:v>
      </x:c>
      <x:c r="E252" s="1" t="n">
        <x:v>2</x:v>
      </x:c>
    </x:row>
    <x:row r="253">
      <x:c r="A253" t="str">
        <x:v>CUAJIMALPA DE MORELOS</x:v>
      </x:c>
      <x:c r="B253" t="str">
        <x:v>Puerto las Cruces (Monte las Cruces)</x:v>
      </x:c>
      <x:c r="C253" t="str">
        <x:v>Mujer</x:v>
      </x:c>
      <x:c r="D253" t="str">
        <x:v>r) 85 años y más</x:v>
      </x:c>
      <x:c r="E253" s="1" t="n">
        <x:v>1</x:v>
      </x:c>
    </x:row>
    <x:row r="254">
      <x:c r="A254" t="str">
        <x:v>CUAJIMALPA DE MORELOS</x:v>
      </x:c>
      <x:c r="B254" t="str">
        <x:v>Santa Rosa</x:v>
      </x:c>
      <x:c r="C254" t="str">
        <x:v>Hombre</x:v>
      </x:c>
      <x:c r="D254" t="str">
        <x:v>a) 0 a 4 años</x:v>
      </x:c>
      <x:c r="E254" s="1" t="n">
        <x:v>20</x:v>
      </x:c>
    </x:row>
    <x:row r="255">
      <x:c r="A255" t="str">
        <x:v>CUAJIMALPA DE MORELOS</x:v>
      </x:c>
      <x:c r="B255" t="str">
        <x:v>Santa Rosa</x:v>
      </x:c>
      <x:c r="C255" t="str">
        <x:v>Hombre</x:v>
      </x:c>
      <x:c r="D255" t="str">
        <x:v>b) 5 a 9 años</x:v>
      </x:c>
      <x:c r="E255" s="1" t="n">
        <x:v>39</x:v>
      </x:c>
    </x:row>
    <x:row r="256">
      <x:c r="A256" t="str">
        <x:v>CUAJIMALPA DE MORELOS</x:v>
      </x:c>
      <x:c r="B256" t="str">
        <x:v>Santa Rosa</x:v>
      </x:c>
      <x:c r="C256" t="str">
        <x:v>Hombre</x:v>
      </x:c>
      <x:c r="D256" t="str">
        <x:v>c) 10 a 14 años</x:v>
      </x:c>
      <x:c r="E256" s="1" t="n">
        <x:v>43</x:v>
      </x:c>
    </x:row>
    <x:row r="257">
      <x:c r="A257" t="str">
        <x:v>CUAJIMALPA DE MORELOS</x:v>
      </x:c>
      <x:c r="B257" t="str">
        <x:v>Santa Rosa</x:v>
      </x:c>
      <x:c r="C257" t="str">
        <x:v>Hombre</x:v>
      </x:c>
      <x:c r="D257" t="str">
        <x:v>d) 15 a 19 años</x:v>
      </x:c>
      <x:c r="E257" s="1" t="n">
        <x:v>47</x:v>
      </x:c>
    </x:row>
    <x:row r="258">
      <x:c r="A258" t="str">
        <x:v>CUAJIMALPA DE MORELOS</x:v>
      </x:c>
      <x:c r="B258" t="str">
        <x:v>Santa Rosa</x:v>
      </x:c>
      <x:c r="C258" t="str">
        <x:v>Hombre</x:v>
      </x:c>
      <x:c r="D258" t="str">
        <x:v>e) 20 a 24 años</x:v>
      </x:c>
      <x:c r="E258" s="1" t="n">
        <x:v>36</x:v>
      </x:c>
    </x:row>
    <x:row r="259">
      <x:c r="A259" t="str">
        <x:v>CUAJIMALPA DE MORELOS</x:v>
      </x:c>
      <x:c r="B259" t="str">
        <x:v>Santa Rosa</x:v>
      </x:c>
      <x:c r="C259" t="str">
        <x:v>Hombre</x:v>
      </x:c>
      <x:c r="D259" t="str">
        <x:v>f) 25 a 29 años</x:v>
      </x:c>
      <x:c r="E259" s="1" t="n">
        <x:v>32</x:v>
      </x:c>
    </x:row>
    <x:row r="260">
      <x:c r="A260" t="str">
        <x:v>CUAJIMALPA DE MORELOS</x:v>
      </x:c>
      <x:c r="B260" t="str">
        <x:v>Santa Rosa</x:v>
      </x:c>
      <x:c r="C260" t="str">
        <x:v>Hombre</x:v>
      </x:c>
      <x:c r="D260" t="str">
        <x:v>g) 30 a 34 años</x:v>
      </x:c>
      <x:c r="E260" s="1" t="n">
        <x:v>35</x:v>
      </x:c>
    </x:row>
    <x:row r="261">
      <x:c r="A261" t="str">
        <x:v>CUAJIMALPA DE MORELOS</x:v>
      </x:c>
      <x:c r="B261" t="str">
        <x:v>Santa Rosa</x:v>
      </x:c>
      <x:c r="C261" t="str">
        <x:v>Hombre</x:v>
      </x:c>
      <x:c r="D261" t="str">
        <x:v>h) 35 a 39 años</x:v>
      </x:c>
      <x:c r="E261" s="1" t="n">
        <x:v>24</x:v>
      </x:c>
    </x:row>
    <x:row r="262">
      <x:c r="A262" t="str">
        <x:v>CUAJIMALPA DE MORELOS</x:v>
      </x:c>
      <x:c r="B262" t="str">
        <x:v>Santa Rosa</x:v>
      </x:c>
      <x:c r="C262" t="str">
        <x:v>Hombre</x:v>
      </x:c>
      <x:c r="D262" t="str">
        <x:v>i) 40 a 44 años</x:v>
      </x:c>
      <x:c r="E262" s="1" t="n">
        <x:v>33</x:v>
      </x:c>
    </x:row>
    <x:row r="263">
      <x:c r="A263" t="str">
        <x:v>CUAJIMALPA DE MORELOS</x:v>
      </x:c>
      <x:c r="B263" t="str">
        <x:v>Santa Rosa</x:v>
      </x:c>
      <x:c r="C263" t="str">
        <x:v>Hombre</x:v>
      </x:c>
      <x:c r="D263" t="str">
        <x:v>j) 45 a 49 años</x:v>
      </x:c>
      <x:c r="E263" s="1" t="n">
        <x:v>27</x:v>
      </x:c>
    </x:row>
    <x:row r="264">
      <x:c r="A264" t="str">
        <x:v>CUAJIMALPA DE MORELOS</x:v>
      </x:c>
      <x:c r="B264" t="str">
        <x:v>Santa Rosa</x:v>
      </x:c>
      <x:c r="C264" t="str">
        <x:v>Hombre</x:v>
      </x:c>
      <x:c r="D264" t="str">
        <x:v>k) 50 a 54 años</x:v>
      </x:c>
      <x:c r="E264" s="1" t="n">
        <x:v>28</x:v>
      </x:c>
    </x:row>
    <x:row r="265">
      <x:c r="A265" t="str">
        <x:v>CUAJIMALPA DE MORELOS</x:v>
      </x:c>
      <x:c r="B265" t="str">
        <x:v>Santa Rosa</x:v>
      </x:c>
      <x:c r="C265" t="str">
        <x:v>Hombre</x:v>
      </x:c>
      <x:c r="D265" t="str">
        <x:v>l) 55 a 59 años</x:v>
      </x:c>
      <x:c r="E265" s="1" t="n">
        <x:v>15</x:v>
      </x:c>
    </x:row>
    <x:row r="266">
      <x:c r="A266" t="str">
        <x:v>CUAJIMALPA DE MORELOS</x:v>
      </x:c>
      <x:c r="B266" t="str">
        <x:v>Santa Rosa</x:v>
      </x:c>
      <x:c r="C266" t="str">
        <x:v>Hombre</x:v>
      </x:c>
      <x:c r="D266" t="str">
        <x:v>m) 60 a 64 años</x:v>
      </x:c>
      <x:c r="E266" s="1" t="n">
        <x:v>11</x:v>
      </x:c>
    </x:row>
    <x:row r="267">
      <x:c r="A267" t="str">
        <x:v>CUAJIMALPA DE MORELOS</x:v>
      </x:c>
      <x:c r="B267" t="str">
        <x:v>Santa Rosa</x:v>
      </x:c>
      <x:c r="C267" t="str">
        <x:v>Hombre</x:v>
      </x:c>
      <x:c r="D267" t="str">
        <x:v>n) 65 a 69 años</x:v>
      </x:c>
      <x:c r="E267" s="1" t="n">
        <x:v>8</x:v>
      </x:c>
    </x:row>
    <x:row r="268">
      <x:c r="A268" t="str">
        <x:v>CUAJIMALPA DE MORELOS</x:v>
      </x:c>
      <x:c r="B268" t="str">
        <x:v>Santa Rosa</x:v>
      </x:c>
      <x:c r="C268" t="str">
        <x:v>Hombre</x:v>
      </x:c>
      <x:c r="D268" t="str">
        <x:v>o) 70 a 74 años</x:v>
      </x:c>
      <x:c r="E268" s="1" t="n">
        <x:v>5</x:v>
      </x:c>
    </x:row>
    <x:row r="269">
      <x:c r="A269" t="str">
        <x:v>CUAJIMALPA DE MORELOS</x:v>
      </x:c>
      <x:c r="B269" t="str">
        <x:v>Santa Rosa</x:v>
      </x:c>
      <x:c r="C269" t="str">
        <x:v>Hombre</x:v>
      </x:c>
      <x:c r="D269" t="str">
        <x:v>p) 75 a 79 años</x:v>
      </x:c>
      <x:c r="E269" s="1" t="n">
        <x:v>0</x:v>
      </x:c>
    </x:row>
    <x:row r="270">
      <x:c r="A270" t="str">
        <x:v>CUAJIMALPA DE MORELOS</x:v>
      </x:c>
      <x:c r="B270" t="str">
        <x:v>Santa Rosa</x:v>
      </x:c>
      <x:c r="C270" t="str">
        <x:v>Hombre</x:v>
      </x:c>
      <x:c r="D270" t="str">
        <x:v>q) 80 a 84 años</x:v>
      </x:c>
      <x:c r="E270" s="1" t="n">
        <x:v>1</x:v>
      </x:c>
    </x:row>
    <x:row r="271">
      <x:c r="A271" t="str">
        <x:v>CUAJIMALPA DE MORELOS</x:v>
      </x:c>
      <x:c r="B271" t="str">
        <x:v>Santa Rosa</x:v>
      </x:c>
      <x:c r="C271" t="str">
        <x:v>Hombre</x:v>
      </x:c>
      <x:c r="D271" t="str">
        <x:v>r) 85 años y más</x:v>
      </x:c>
      <x:c r="E271" s="1" t="n">
        <x:v>0</x:v>
      </x:c>
    </x:row>
    <x:row r="272">
      <x:c r="A272" t="str">
        <x:v>CUAJIMALPA DE MORELOS</x:v>
      </x:c>
      <x:c r="B272" t="str">
        <x:v>Santa Rosa</x:v>
      </x:c>
      <x:c r="C272" t="str">
        <x:v>Mujer</x:v>
      </x:c>
      <x:c r="D272" t="str">
        <x:v>a) 0 a 4 años</x:v>
      </x:c>
      <x:c r="E272" s="1" t="n">
        <x:v>41</x:v>
      </x:c>
    </x:row>
    <x:row r="273">
      <x:c r="A273" t="str">
        <x:v>CUAJIMALPA DE MORELOS</x:v>
      </x:c>
      <x:c r="B273" t="str">
        <x:v>Santa Rosa</x:v>
      </x:c>
      <x:c r="C273" t="str">
        <x:v>Mujer</x:v>
      </x:c>
      <x:c r="D273" t="str">
        <x:v>b) 5 a 9 años</x:v>
      </x:c>
      <x:c r="E273" s="1" t="n">
        <x:v>48</x:v>
      </x:c>
    </x:row>
    <x:row r="274">
      <x:c r="A274" t="str">
        <x:v>CUAJIMALPA DE MORELOS</x:v>
      </x:c>
      <x:c r="B274" t="str">
        <x:v>Santa Rosa</x:v>
      </x:c>
      <x:c r="C274" t="str">
        <x:v>Mujer</x:v>
      </x:c>
      <x:c r="D274" t="str">
        <x:v>c) 10 a 14 años</x:v>
      </x:c>
      <x:c r="E274" s="1" t="n">
        <x:v>45</x:v>
      </x:c>
    </x:row>
    <x:row r="275">
      <x:c r="A275" t="str">
        <x:v>CUAJIMALPA DE MORELOS</x:v>
      </x:c>
      <x:c r="B275" t="str">
        <x:v>Santa Rosa</x:v>
      </x:c>
      <x:c r="C275" t="str">
        <x:v>Mujer</x:v>
      </x:c>
      <x:c r="D275" t="str">
        <x:v>d) 15 a 19 años</x:v>
      </x:c>
      <x:c r="E275" s="1" t="n">
        <x:v>42</x:v>
      </x:c>
    </x:row>
    <x:row r="276">
      <x:c r="A276" t="str">
        <x:v>CUAJIMALPA DE MORELOS</x:v>
      </x:c>
      <x:c r="B276" t="str">
        <x:v>Santa Rosa</x:v>
      </x:c>
      <x:c r="C276" t="str">
        <x:v>Mujer</x:v>
      </x:c>
      <x:c r="D276" t="str">
        <x:v>e) 20 a 24 años</x:v>
      </x:c>
      <x:c r="E276" s="1" t="n">
        <x:v>28</x:v>
      </x:c>
    </x:row>
    <x:row r="277">
      <x:c r="A277" t="str">
        <x:v>CUAJIMALPA DE MORELOS</x:v>
      </x:c>
      <x:c r="B277" t="str">
        <x:v>Santa Rosa</x:v>
      </x:c>
      <x:c r="C277" t="str">
        <x:v>Mujer</x:v>
      </x:c>
      <x:c r="D277" t="str">
        <x:v>f) 25 a 29 años</x:v>
      </x:c>
      <x:c r="E277" s="1" t="n">
        <x:v>30</x:v>
      </x:c>
    </x:row>
    <x:row r="278">
      <x:c r="A278" t="str">
        <x:v>CUAJIMALPA DE MORELOS</x:v>
      </x:c>
      <x:c r="B278" t="str">
        <x:v>Santa Rosa</x:v>
      </x:c>
      <x:c r="C278" t="str">
        <x:v>Mujer</x:v>
      </x:c>
      <x:c r="D278" t="str">
        <x:v>g) 30 a 34 años</x:v>
      </x:c>
      <x:c r="E278" s="1" t="n">
        <x:v>31</x:v>
      </x:c>
    </x:row>
    <x:row r="279">
      <x:c r="A279" t="str">
        <x:v>CUAJIMALPA DE MORELOS</x:v>
      </x:c>
      <x:c r="B279" t="str">
        <x:v>Santa Rosa</x:v>
      </x:c>
      <x:c r="C279" t="str">
        <x:v>Mujer</x:v>
      </x:c>
      <x:c r="D279" t="str">
        <x:v>h) 35 a 39 años</x:v>
      </x:c>
      <x:c r="E279" s="1" t="n">
        <x:v>40</x:v>
      </x:c>
    </x:row>
    <x:row r="280">
      <x:c r="A280" t="str">
        <x:v>CUAJIMALPA DE MORELOS</x:v>
      </x:c>
      <x:c r="B280" t="str">
        <x:v>Santa Rosa</x:v>
      </x:c>
      <x:c r="C280" t="str">
        <x:v>Mujer</x:v>
      </x:c>
      <x:c r="D280" t="str">
        <x:v>i) 40 a 44 años</x:v>
      </x:c>
      <x:c r="E280" s="1" t="n">
        <x:v>24</x:v>
      </x:c>
    </x:row>
    <x:row r="281">
      <x:c r="A281" t="str">
        <x:v>CUAJIMALPA DE MORELOS</x:v>
      </x:c>
      <x:c r="B281" t="str">
        <x:v>Santa Rosa</x:v>
      </x:c>
      <x:c r="C281" t="str">
        <x:v>Mujer</x:v>
      </x:c>
      <x:c r="D281" t="str">
        <x:v>j) 45 a 49 años</x:v>
      </x:c>
      <x:c r="E281" s="1" t="n">
        <x:v>34</x:v>
      </x:c>
    </x:row>
    <x:row r="282">
      <x:c r="A282" t="str">
        <x:v>CUAJIMALPA DE MORELOS</x:v>
      </x:c>
      <x:c r="B282" t="str">
        <x:v>Santa Rosa</x:v>
      </x:c>
      <x:c r="C282" t="str">
        <x:v>Mujer</x:v>
      </x:c>
      <x:c r="D282" t="str">
        <x:v>k) 50 a 54 años</x:v>
      </x:c>
      <x:c r="E282" s="1" t="n">
        <x:v>18</x:v>
      </x:c>
    </x:row>
    <x:row r="283">
      <x:c r="A283" t="str">
        <x:v>CUAJIMALPA DE MORELOS</x:v>
      </x:c>
      <x:c r="B283" t="str">
        <x:v>Santa Rosa</x:v>
      </x:c>
      <x:c r="C283" t="str">
        <x:v>Mujer</x:v>
      </x:c>
      <x:c r="D283" t="str">
        <x:v>l) 55 a 59 años</x:v>
      </x:c>
      <x:c r="E283" s="1" t="n">
        <x:v>15</x:v>
      </x:c>
    </x:row>
    <x:row r="284">
      <x:c r="A284" t="str">
        <x:v>CUAJIMALPA DE MORELOS</x:v>
      </x:c>
      <x:c r="B284" t="str">
        <x:v>Santa Rosa</x:v>
      </x:c>
      <x:c r="C284" t="str">
        <x:v>Mujer</x:v>
      </x:c>
      <x:c r="D284" t="str">
        <x:v>m) 60 a 64 años</x:v>
      </x:c>
      <x:c r="E284" s="1" t="n">
        <x:v>12</x:v>
      </x:c>
    </x:row>
    <x:row r="285">
      <x:c r="A285" t="str">
        <x:v>CUAJIMALPA DE MORELOS</x:v>
      </x:c>
      <x:c r="B285" t="str">
        <x:v>Santa Rosa</x:v>
      </x:c>
      <x:c r="C285" t="str">
        <x:v>Mujer</x:v>
      </x:c>
      <x:c r="D285" t="str">
        <x:v>n) 65 a 69 años</x:v>
      </x:c>
      <x:c r="E285" s="1" t="n">
        <x:v>2</x:v>
      </x:c>
    </x:row>
    <x:row r="286">
      <x:c r="A286" t="str">
        <x:v>CUAJIMALPA DE MORELOS</x:v>
      </x:c>
      <x:c r="B286" t="str">
        <x:v>Santa Rosa</x:v>
      </x:c>
      <x:c r="C286" t="str">
        <x:v>Mujer</x:v>
      </x:c>
      <x:c r="D286" t="str">
        <x:v>o) 70 a 74 años</x:v>
      </x:c>
      <x:c r="E286" s="1" t="n">
        <x:v>2</x:v>
      </x:c>
    </x:row>
    <x:row r="287">
      <x:c r="A287" t="str">
        <x:v>CUAJIMALPA DE MORELOS</x:v>
      </x:c>
      <x:c r="B287" t="str">
        <x:v>Santa Rosa</x:v>
      </x:c>
      <x:c r="C287" t="str">
        <x:v>Mujer</x:v>
      </x:c>
      <x:c r="D287" t="str">
        <x:v>p) 75 a 79 años</x:v>
      </x:c>
      <x:c r="E287" s="1" t="n">
        <x:v>1</x:v>
      </x:c>
    </x:row>
    <x:row r="288">
      <x:c r="A288" t="str">
        <x:v>CUAJIMALPA DE MORELOS</x:v>
      </x:c>
      <x:c r="B288" t="str">
        <x:v>Santa Rosa</x:v>
      </x:c>
      <x:c r="C288" t="str">
        <x:v>Mujer</x:v>
      </x:c>
      <x:c r="D288" t="str">
        <x:v>q) 80 a 84 años</x:v>
      </x:c>
      <x:c r="E288" s="1" t="n">
        <x:v>0</x:v>
      </x:c>
    </x:row>
    <x:row r="289">
      <x:c r="A289" t="str">
        <x:v>CUAJIMALPA DE MORELOS</x:v>
      </x:c>
      <x:c r="B289" t="str">
        <x:v>Santa Rosa</x:v>
      </x:c>
      <x:c r="C289" t="str">
        <x:v>Mujer</x:v>
      </x:c>
      <x:c r="D289" t="str">
        <x:v>r) 85 años y más</x:v>
      </x:c>
      <x:c r="E289" s="1" t="n">
        <x:v>1</x:v>
      </x:c>
    </x:row>
    <x:row r="290">
      <x:c r="A290" t="str">
        <x:v>CUAJIMALPA DE MORELOS</x:v>
      </x:c>
      <x:c r="B290" t="str">
        <x:v>Los Aguacates</x:v>
      </x:c>
      <x:c r="C290" t="str">
        <x:v>Hombre</x:v>
      </x:c>
      <x:c r="D290" t="str">
        <x:v>a) 0 a 4 años</x:v>
      </x:c>
      <x:c r="E290" s="1" t="n">
        <x:v>23</x:v>
      </x:c>
    </x:row>
    <x:row r="291">
      <x:c r="A291" t="str">
        <x:v>CUAJIMALPA DE MORELOS</x:v>
      </x:c>
      <x:c r="B291" t="str">
        <x:v>Los Aguacates</x:v>
      </x:c>
      <x:c r="C291" t="str">
        <x:v>Hombre</x:v>
      </x:c>
      <x:c r="D291" t="str">
        <x:v>b) 5 a 9 años</x:v>
      </x:c>
      <x:c r="E291" s="1" t="n">
        <x:v>17</x:v>
      </x:c>
    </x:row>
    <x:row r="292">
      <x:c r="A292" t="str">
        <x:v>CUAJIMALPA DE MORELOS</x:v>
      </x:c>
      <x:c r="B292" t="str">
        <x:v>Los Aguacates</x:v>
      </x:c>
      <x:c r="C292" t="str">
        <x:v>Hombre</x:v>
      </x:c>
      <x:c r="D292" t="str">
        <x:v>c) 10 a 14 años</x:v>
      </x:c>
      <x:c r="E292" s="1" t="n">
        <x:v>25</x:v>
      </x:c>
    </x:row>
    <x:row r="293">
      <x:c r="A293" t="str">
        <x:v>CUAJIMALPA DE MORELOS</x:v>
      </x:c>
      <x:c r="B293" t="str">
        <x:v>Los Aguacates</x:v>
      </x:c>
      <x:c r="C293" t="str">
        <x:v>Hombre</x:v>
      </x:c>
      <x:c r="D293" t="str">
        <x:v>d) 15 a 19 años</x:v>
      </x:c>
      <x:c r="E293" s="1" t="n">
        <x:v>30</x:v>
      </x:c>
    </x:row>
    <x:row r="294">
      <x:c r="A294" t="str">
        <x:v>CUAJIMALPA DE MORELOS</x:v>
      </x:c>
      <x:c r="B294" t="str">
        <x:v>Los Aguacates</x:v>
      </x:c>
      <x:c r="C294" t="str">
        <x:v>Hombre</x:v>
      </x:c>
      <x:c r="D294" t="str">
        <x:v>e) 20 a 24 años</x:v>
      </x:c>
      <x:c r="E294" s="1" t="n">
        <x:v>28</x:v>
      </x:c>
    </x:row>
    <x:row r="295">
      <x:c r="A295" t="str">
        <x:v>CUAJIMALPA DE MORELOS</x:v>
      </x:c>
      <x:c r="B295" t="str">
        <x:v>Los Aguacates</x:v>
      </x:c>
      <x:c r="C295" t="str">
        <x:v>Hombre</x:v>
      </x:c>
      <x:c r="D295" t="str">
        <x:v>f) 25 a 29 años</x:v>
      </x:c>
      <x:c r="E295" s="1" t="n">
        <x:v>24</x:v>
      </x:c>
    </x:row>
    <x:row r="296">
      <x:c r="A296" t="str">
        <x:v>CUAJIMALPA DE MORELOS</x:v>
      </x:c>
      <x:c r="B296" t="str">
        <x:v>Los Aguacates</x:v>
      </x:c>
      <x:c r="C296" t="str">
        <x:v>Hombre</x:v>
      </x:c>
      <x:c r="D296" t="str">
        <x:v>g) 30 a 34 años</x:v>
      </x:c>
      <x:c r="E296" s="1" t="n">
        <x:v>12</x:v>
      </x:c>
    </x:row>
    <x:row r="297">
      <x:c r="A297" t="str">
        <x:v>CUAJIMALPA DE MORELOS</x:v>
      </x:c>
      <x:c r="B297" t="str">
        <x:v>Los Aguacates</x:v>
      </x:c>
      <x:c r="C297" t="str">
        <x:v>Hombre</x:v>
      </x:c>
      <x:c r="D297" t="str">
        <x:v>h) 35 a 39 años</x:v>
      </x:c>
      <x:c r="E297" s="1" t="n">
        <x:v>15</x:v>
      </x:c>
    </x:row>
    <x:row r="298">
      <x:c r="A298" t="str">
        <x:v>CUAJIMALPA DE MORELOS</x:v>
      </x:c>
      <x:c r="B298" t="str">
        <x:v>Los Aguacates</x:v>
      </x:c>
      <x:c r="C298" t="str">
        <x:v>Hombre</x:v>
      </x:c>
      <x:c r="D298" t="str">
        <x:v>i) 40 a 44 años</x:v>
      </x:c>
      <x:c r="E298" s="1" t="n">
        <x:v>20</x:v>
      </x:c>
    </x:row>
    <x:row r="299">
      <x:c r="A299" t="str">
        <x:v>CUAJIMALPA DE MORELOS</x:v>
      </x:c>
      <x:c r="B299" t="str">
        <x:v>Los Aguacates</x:v>
      </x:c>
      <x:c r="C299" t="str">
        <x:v>Hombre</x:v>
      </x:c>
      <x:c r="D299" t="str">
        <x:v>j) 45 a 49 años</x:v>
      </x:c>
      <x:c r="E299" s="1" t="n">
        <x:v>25</x:v>
      </x:c>
    </x:row>
    <x:row r="300">
      <x:c r="A300" t="str">
        <x:v>CUAJIMALPA DE MORELOS</x:v>
      </x:c>
      <x:c r="B300" t="str">
        <x:v>Los Aguacates</x:v>
      </x:c>
      <x:c r="C300" t="str">
        <x:v>Hombre</x:v>
      </x:c>
      <x:c r="D300" t="str">
        <x:v>k) 50 a 54 años</x:v>
      </x:c>
      <x:c r="E300" s="1" t="n">
        <x:v>15</x:v>
      </x:c>
    </x:row>
    <x:row r="301">
      <x:c r="A301" t="str">
        <x:v>CUAJIMALPA DE MORELOS</x:v>
      </x:c>
      <x:c r="B301" t="str">
        <x:v>Los Aguacates</x:v>
      </x:c>
      <x:c r="C301" t="str">
        <x:v>Hombre</x:v>
      </x:c>
      <x:c r="D301" t="str">
        <x:v>l) 55 a 59 años</x:v>
      </x:c>
      <x:c r="E301" s="1" t="n">
        <x:v>7</x:v>
      </x:c>
    </x:row>
    <x:row r="302">
      <x:c r="A302" t="str">
        <x:v>CUAJIMALPA DE MORELOS</x:v>
      </x:c>
      <x:c r="B302" t="str">
        <x:v>Los Aguacates</x:v>
      </x:c>
      <x:c r="C302" t="str">
        <x:v>Hombre</x:v>
      </x:c>
      <x:c r="D302" t="str">
        <x:v>m) 60 a 64 años</x:v>
      </x:c>
      <x:c r="E302" s="1" t="n">
        <x:v>4</x:v>
      </x:c>
    </x:row>
    <x:row r="303">
      <x:c r="A303" t="str">
        <x:v>CUAJIMALPA DE MORELOS</x:v>
      </x:c>
      <x:c r="B303" t="str">
        <x:v>Los Aguacates</x:v>
      </x:c>
      <x:c r="C303" t="str">
        <x:v>Hombre</x:v>
      </x:c>
      <x:c r="D303" t="str">
        <x:v>n) 65 a 69 años</x:v>
      </x:c>
      <x:c r="E303" s="1" t="n">
        <x:v>4</x:v>
      </x:c>
    </x:row>
    <x:row r="304">
      <x:c r="A304" t="str">
        <x:v>CUAJIMALPA DE MORELOS</x:v>
      </x:c>
      <x:c r="B304" t="str">
        <x:v>Los Aguacates</x:v>
      </x:c>
      <x:c r="C304" t="str">
        <x:v>Hombre</x:v>
      </x:c>
      <x:c r="D304" t="str">
        <x:v>o) 70 a 74 años</x:v>
      </x:c>
      <x:c r="E304" s="1" t="n">
        <x:v>2</x:v>
      </x:c>
    </x:row>
    <x:row r="305">
      <x:c r="A305" t="str">
        <x:v>CUAJIMALPA DE MORELOS</x:v>
      </x:c>
      <x:c r="B305" t="str">
        <x:v>Los Aguacates</x:v>
      </x:c>
      <x:c r="C305" t="str">
        <x:v>Hombre</x:v>
      </x:c>
      <x:c r="D305" t="str">
        <x:v>p) 75 a 79 años</x:v>
      </x:c>
      <x:c r="E305" s="1" t="n">
        <x:v>1</x:v>
      </x:c>
    </x:row>
    <x:row r="306">
      <x:c r="A306" t="str">
        <x:v>CUAJIMALPA DE MORELOS</x:v>
      </x:c>
      <x:c r="B306" t="str">
        <x:v>Los Aguacates</x:v>
      </x:c>
      <x:c r="C306" t="str">
        <x:v>Hombre</x:v>
      </x:c>
      <x:c r="D306" t="str">
        <x:v>q) 80 a 84 años</x:v>
      </x:c>
      <x:c r="E306" s="1" t="n">
        <x:v>0</x:v>
      </x:c>
    </x:row>
    <x:row r="307">
      <x:c r="A307" t="str">
        <x:v>CUAJIMALPA DE MORELOS</x:v>
      </x:c>
      <x:c r="B307" t="str">
        <x:v>Los Aguacates</x:v>
      </x:c>
      <x:c r="C307" t="str">
        <x:v>Hombre</x:v>
      </x:c>
      <x:c r="D307" t="str">
        <x:v>r) 85 años y más</x:v>
      </x:c>
      <x:c r="E307" s="1" t="n">
        <x:v>1</x:v>
      </x:c>
    </x:row>
    <x:row r="308">
      <x:c r="A308" t="str">
        <x:v>CUAJIMALPA DE MORELOS</x:v>
      </x:c>
      <x:c r="B308" t="str">
        <x:v>Los Aguacates</x:v>
      </x:c>
      <x:c r="C308" t="str">
        <x:v>Mujer</x:v>
      </x:c>
      <x:c r="D308" t="str">
        <x:v>a) 0 a 4 años</x:v>
      </x:c>
      <x:c r="E308" s="1" t="n">
        <x:v>30</x:v>
      </x:c>
    </x:row>
    <x:row r="309">
      <x:c r="A309" t="str">
        <x:v>CUAJIMALPA DE MORELOS</x:v>
      </x:c>
      <x:c r="B309" t="str">
        <x:v>Los Aguacates</x:v>
      </x:c>
      <x:c r="C309" t="str">
        <x:v>Mujer</x:v>
      </x:c>
      <x:c r="D309" t="str">
        <x:v>b) 5 a 9 años</x:v>
      </x:c>
      <x:c r="E309" s="1" t="n">
        <x:v>35</x:v>
      </x:c>
    </x:row>
    <x:row r="310">
      <x:c r="A310" t="str">
        <x:v>CUAJIMALPA DE MORELOS</x:v>
      </x:c>
      <x:c r="B310" t="str">
        <x:v>Los Aguacates</x:v>
      </x:c>
      <x:c r="C310" t="str">
        <x:v>Mujer</x:v>
      </x:c>
      <x:c r="D310" t="str">
        <x:v>c) 10 a 14 años</x:v>
      </x:c>
      <x:c r="E310" s="1" t="n">
        <x:v>24</x:v>
      </x:c>
    </x:row>
    <x:row r="311">
      <x:c r="A311" t="str">
        <x:v>CUAJIMALPA DE MORELOS</x:v>
      </x:c>
      <x:c r="B311" t="str">
        <x:v>Los Aguacates</x:v>
      </x:c>
      <x:c r="C311" t="str">
        <x:v>Mujer</x:v>
      </x:c>
      <x:c r="D311" t="str">
        <x:v>d) 15 a 19 años</x:v>
      </x:c>
      <x:c r="E311" s="1" t="n">
        <x:v>28</x:v>
      </x:c>
    </x:row>
    <x:row r="312">
      <x:c r="A312" t="str">
        <x:v>CUAJIMALPA DE MORELOS</x:v>
      </x:c>
      <x:c r="B312" t="str">
        <x:v>Los Aguacates</x:v>
      </x:c>
      <x:c r="C312" t="str">
        <x:v>Mujer</x:v>
      </x:c>
      <x:c r="D312" t="str">
        <x:v>e) 20 a 24 años</x:v>
      </x:c>
      <x:c r="E312" s="1" t="n">
        <x:v>29</x:v>
      </x:c>
    </x:row>
    <x:row r="313">
      <x:c r="A313" t="str">
        <x:v>CUAJIMALPA DE MORELOS</x:v>
      </x:c>
      <x:c r="B313" t="str">
        <x:v>Los Aguacates</x:v>
      </x:c>
      <x:c r="C313" t="str">
        <x:v>Mujer</x:v>
      </x:c>
      <x:c r="D313" t="str">
        <x:v>f) 25 a 29 años</x:v>
      </x:c>
      <x:c r="E313" s="1" t="n">
        <x:v>13</x:v>
      </x:c>
    </x:row>
    <x:row r="314">
      <x:c r="A314" t="str">
        <x:v>CUAJIMALPA DE MORELOS</x:v>
      </x:c>
      <x:c r="B314" t="str">
        <x:v>Los Aguacates</x:v>
      </x:c>
      <x:c r="C314" t="str">
        <x:v>Mujer</x:v>
      </x:c>
      <x:c r="D314" t="str">
        <x:v>g) 30 a 34 años</x:v>
      </x:c>
      <x:c r="E314" s="1" t="n">
        <x:v>16</x:v>
      </x:c>
    </x:row>
    <x:row r="315">
      <x:c r="A315" t="str">
        <x:v>CUAJIMALPA DE MORELOS</x:v>
      </x:c>
      <x:c r="B315" t="str">
        <x:v>Los Aguacates</x:v>
      </x:c>
      <x:c r="C315" t="str">
        <x:v>Mujer</x:v>
      </x:c>
      <x:c r="D315" t="str">
        <x:v>h) 35 a 39 años</x:v>
      </x:c>
      <x:c r="E315" s="1" t="n">
        <x:v>22</x:v>
      </x:c>
    </x:row>
    <x:row r="316">
      <x:c r="A316" t="str">
        <x:v>CUAJIMALPA DE MORELOS</x:v>
      </x:c>
      <x:c r="B316" t="str">
        <x:v>Los Aguacates</x:v>
      </x:c>
      <x:c r="C316" t="str">
        <x:v>Mujer</x:v>
      </x:c>
      <x:c r="D316" t="str">
        <x:v>i) 40 a 44 años</x:v>
      </x:c>
      <x:c r="E316" s="1" t="n">
        <x:v>23</x:v>
      </x:c>
    </x:row>
    <x:row r="317">
      <x:c r="A317" t="str">
        <x:v>CUAJIMALPA DE MORELOS</x:v>
      </x:c>
      <x:c r="B317" t="str">
        <x:v>Los Aguacates</x:v>
      </x:c>
      <x:c r="C317" t="str">
        <x:v>Mujer</x:v>
      </x:c>
      <x:c r="D317" t="str">
        <x:v>j) 45 a 49 años</x:v>
      </x:c>
      <x:c r="E317" s="1" t="n">
        <x:v>15</x:v>
      </x:c>
    </x:row>
    <x:row r="318">
      <x:c r="A318" t="str">
        <x:v>CUAJIMALPA DE MORELOS</x:v>
      </x:c>
      <x:c r="B318" t="str">
        <x:v>Los Aguacates</x:v>
      </x:c>
      <x:c r="C318" t="str">
        <x:v>Mujer</x:v>
      </x:c>
      <x:c r="D318" t="str">
        <x:v>k) 50 a 54 años</x:v>
      </x:c>
      <x:c r="E318" s="1" t="n">
        <x:v>6</x:v>
      </x:c>
    </x:row>
    <x:row r="319">
      <x:c r="A319" t="str">
        <x:v>CUAJIMALPA DE MORELOS</x:v>
      </x:c>
      <x:c r="B319" t="str">
        <x:v>Los Aguacates</x:v>
      </x:c>
      <x:c r="C319" t="str">
        <x:v>Mujer</x:v>
      </x:c>
      <x:c r="D319" t="str">
        <x:v>l) 55 a 59 años</x:v>
      </x:c>
      <x:c r="E319" s="1" t="n">
        <x:v>8</x:v>
      </x:c>
    </x:row>
    <x:row r="320">
      <x:c r="A320" t="str">
        <x:v>CUAJIMALPA DE MORELOS</x:v>
      </x:c>
      <x:c r="B320" t="str">
        <x:v>Los Aguacates</x:v>
      </x:c>
      <x:c r="C320" t="str">
        <x:v>Mujer</x:v>
      </x:c>
      <x:c r="D320" t="str">
        <x:v>m) 60 a 64 años</x:v>
      </x:c>
      <x:c r="E320" s="1" t="n">
        <x:v>3</x:v>
      </x:c>
    </x:row>
    <x:row r="321">
      <x:c r="A321" t="str">
        <x:v>CUAJIMALPA DE MORELOS</x:v>
      </x:c>
      <x:c r="B321" t="str">
        <x:v>Los Aguacates</x:v>
      </x:c>
      <x:c r="C321" t="str">
        <x:v>Mujer</x:v>
      </x:c>
      <x:c r="D321" t="str">
        <x:v>n) 65 a 69 años</x:v>
      </x:c>
      <x:c r="E321" s="1" t="n">
        <x:v>5</x:v>
      </x:c>
    </x:row>
    <x:row r="322">
      <x:c r="A322" t="str">
        <x:v>CUAJIMALPA DE MORELOS</x:v>
      </x:c>
      <x:c r="B322" t="str">
        <x:v>Los Aguacates</x:v>
      </x:c>
      <x:c r="C322" t="str">
        <x:v>Mujer</x:v>
      </x:c>
      <x:c r="D322" t="str">
        <x:v>o) 70 a 74 años</x:v>
      </x:c>
      <x:c r="E322" s="1" t="n">
        <x:v>3</x:v>
      </x:c>
    </x:row>
    <x:row r="323">
      <x:c r="A323" t="str">
        <x:v>CUAJIMALPA DE MORELOS</x:v>
      </x:c>
      <x:c r="B323" t="str">
        <x:v>Los Aguacates</x:v>
      </x:c>
      <x:c r="C323" t="str">
        <x:v>Mujer</x:v>
      </x:c>
      <x:c r="D323" t="str">
        <x:v>p) 75 a 79 años</x:v>
      </x:c>
      <x:c r="E323" s="1" t="n">
        <x:v>1</x:v>
      </x:c>
    </x:row>
    <x:row r="324">
      <x:c r="A324" t="str">
        <x:v>CUAJIMALPA DE MORELOS</x:v>
      </x:c>
      <x:c r="B324" t="str">
        <x:v>Los Aguacates</x:v>
      </x:c>
      <x:c r="C324" t="str">
        <x:v>Mujer</x:v>
      </x:c>
      <x:c r="D324" t="str">
        <x:v>q) 80 a 84 años</x:v>
      </x:c>
      <x:c r="E324" s="1" t="n">
        <x:v>0</x:v>
      </x:c>
    </x:row>
    <x:row r="325">
      <x:c r="A325" t="str">
        <x:v>CUAJIMALPA DE MORELOS</x:v>
      </x:c>
      <x:c r="B325" t="str">
        <x:v>Los Aguacates</x:v>
      </x:c>
      <x:c r="C325" t="str">
        <x:v>Mujer</x:v>
      </x:c>
      <x:c r="D325" t="str">
        <x:v>r) 85 años y más</x:v>
      </x:c>
      <x:c r="E325" s="1" t="n">
        <x:v>0</x:v>
      </x:c>
    </x:row>
    <x:row r="326">
      <x:c r="A326" t="str">
        <x:v>GUSTAVO A. MADERO</x:v>
      </x:c>
      <x:c r="B326" t="str">
        <x:v>Gustavo A. Madero</x:v>
      </x:c>
      <x:c r="C326" t="str">
        <x:v>Hombre</x:v>
      </x:c>
      <x:c r="D326" t="str">
        <x:v>a) 0 a 4 años</x:v>
      </x:c>
      <x:c r="E326" s="1" t="n">
        <x:v>32218</x:v>
      </x:c>
    </x:row>
    <x:row r="327">
      <x:c r="A327" t="str">
        <x:v>GUSTAVO A. MADERO</x:v>
      </x:c>
      <x:c r="B327" t="str">
        <x:v>Gustavo A. Madero</x:v>
      </x:c>
      <x:c r="C327" t="str">
        <x:v>Hombre</x:v>
      </x:c>
      <x:c r="D327" t="str">
        <x:v>b) 5 a 9 años</x:v>
      </x:c>
      <x:c r="E327" s="1" t="n">
        <x:v>36273</x:v>
      </x:c>
    </x:row>
    <x:row r="328">
      <x:c r="A328" t="str">
        <x:v>GUSTAVO A. MADERO</x:v>
      </x:c>
      <x:c r="B328" t="str">
        <x:v>Gustavo A. Madero</x:v>
      </x:c>
      <x:c r="C328" t="str">
        <x:v>Hombre</x:v>
      </x:c>
      <x:c r="D328" t="str">
        <x:v>c) 10 a 14 años</x:v>
      </x:c>
      <x:c r="E328" s="1" t="n">
        <x:v>39042</x:v>
      </x:c>
    </x:row>
    <x:row r="329">
      <x:c r="A329" t="str">
        <x:v>GUSTAVO A. MADERO</x:v>
      </x:c>
      <x:c r="B329" t="str">
        <x:v>Gustavo A. Madero</x:v>
      </x:c>
      <x:c r="C329" t="str">
        <x:v>Hombre</x:v>
      </x:c>
      <x:c r="D329" t="str">
        <x:v>d) 15 a 19 años</x:v>
      </x:c>
      <x:c r="E329" s="1" t="n">
        <x:v>43052</x:v>
      </x:c>
    </x:row>
    <x:row r="330">
      <x:c r="A330" t="str">
        <x:v>GUSTAVO A. MADERO</x:v>
      </x:c>
      <x:c r="B330" t="str">
        <x:v>Gustavo A. Madero</x:v>
      </x:c>
      <x:c r="C330" t="str">
        <x:v>Hombre</x:v>
      </x:c>
      <x:c r="D330" t="str">
        <x:v>e) 20 a 24 años</x:v>
      </x:c>
      <x:c r="E330" s="1" t="n">
        <x:v>46768</x:v>
      </x:c>
    </x:row>
    <x:row r="331">
      <x:c r="A331" t="str">
        <x:v>GUSTAVO A. MADERO</x:v>
      </x:c>
      <x:c r="B331" t="str">
        <x:v>Gustavo A. Madero</x:v>
      </x:c>
      <x:c r="C331" t="str">
        <x:v>Hombre</x:v>
      </x:c>
      <x:c r="D331" t="str">
        <x:v>f) 25 a 29 años</x:v>
      </x:c>
      <x:c r="E331" s="1" t="n">
        <x:v>46369</x:v>
      </x:c>
    </x:row>
    <x:row r="332">
      <x:c r="A332" t="str">
        <x:v>GUSTAVO A. MADERO</x:v>
      </x:c>
      <x:c r="B332" t="str">
        <x:v>Gustavo A. Madero</x:v>
      </x:c>
      <x:c r="C332" t="str">
        <x:v>Hombre</x:v>
      </x:c>
      <x:c r="D332" t="str">
        <x:v>g) 30 a 34 años</x:v>
      </x:c>
      <x:c r="E332" s="1" t="n">
        <x:v>43437</x:v>
      </x:c>
    </x:row>
    <x:row r="333">
      <x:c r="A333" t="str">
        <x:v>GUSTAVO A. MADERO</x:v>
      </x:c>
      <x:c r="B333" t="str">
        <x:v>Gustavo A. Madero</x:v>
      </x:c>
      <x:c r="C333" t="str">
        <x:v>Hombre</x:v>
      </x:c>
      <x:c r="D333" t="str">
        <x:v>h) 35 a 39 años</x:v>
      </x:c>
      <x:c r="E333" s="1" t="n">
        <x:v>40516</x:v>
      </x:c>
    </x:row>
    <x:row r="334">
      <x:c r="A334" t="str">
        <x:v>GUSTAVO A. MADERO</x:v>
      </x:c>
      <x:c r="B334" t="str">
        <x:v>Gustavo A. Madero</x:v>
      </x:c>
      <x:c r="C334" t="str">
        <x:v>Hombre</x:v>
      </x:c>
      <x:c r="D334" t="str">
        <x:v>i) 40 a 44 años</x:v>
      </x:c>
      <x:c r="E334" s="1" t="n">
        <x:v>38783</x:v>
      </x:c>
    </x:row>
    <x:row r="335">
      <x:c r="A335" t="str">
        <x:v>GUSTAVO A. MADERO</x:v>
      </x:c>
      <x:c r="B335" t="str">
        <x:v>Gustavo A. Madero</x:v>
      </x:c>
      <x:c r="C335" t="str">
        <x:v>Hombre</x:v>
      </x:c>
      <x:c r="D335" t="str">
        <x:v>j) 45 a 49 años</x:v>
      </x:c>
      <x:c r="E335" s="1" t="n">
        <x:v>39825</x:v>
      </x:c>
    </x:row>
    <x:row r="336">
      <x:c r="A336" t="str">
        <x:v>GUSTAVO A. MADERO</x:v>
      </x:c>
      <x:c r="B336" t="str">
        <x:v>Gustavo A. Madero</x:v>
      </x:c>
      <x:c r="C336" t="str">
        <x:v>Hombre</x:v>
      </x:c>
      <x:c r="D336" t="str">
        <x:v>k) 50 a 54 años</x:v>
      </x:c>
      <x:c r="E336" s="1" t="n">
        <x:v>37979</x:v>
      </x:c>
    </x:row>
    <x:row r="337">
      <x:c r="A337" t="str">
        <x:v>GUSTAVO A. MADERO</x:v>
      </x:c>
      <x:c r="B337" t="str">
        <x:v>Gustavo A. Madero</x:v>
      </x:c>
      <x:c r="C337" t="str">
        <x:v>Hombre</x:v>
      </x:c>
      <x:c r="D337" t="str">
        <x:v>l) 55 a 59 años</x:v>
      </x:c>
      <x:c r="E337" s="1" t="n">
        <x:v>32164</x:v>
      </x:c>
    </x:row>
    <x:row r="338">
      <x:c r="A338" t="str">
        <x:v>GUSTAVO A. MADERO</x:v>
      </x:c>
      <x:c r="B338" t="str">
        <x:v>Gustavo A. Madero</x:v>
      </x:c>
      <x:c r="C338" t="str">
        <x:v>Hombre</x:v>
      </x:c>
      <x:c r="D338" t="str">
        <x:v>m) 60 a 64 años</x:v>
      </x:c>
      <x:c r="E338" s="1" t="n">
        <x:v>27902</x:v>
      </x:c>
    </x:row>
    <x:row r="339">
      <x:c r="A339" t="str">
        <x:v>GUSTAVO A. MADERO</x:v>
      </x:c>
      <x:c r="B339" t="str">
        <x:v>Gustavo A. Madero</x:v>
      </x:c>
      <x:c r="C339" t="str">
        <x:v>Hombre</x:v>
      </x:c>
      <x:c r="D339" t="str">
        <x:v>n) 65 a 69 años</x:v>
      </x:c>
      <x:c r="E339" s="1" t="n">
        <x:v>20530</x:v>
      </x:c>
    </x:row>
    <x:row r="340">
      <x:c r="A340" t="str">
        <x:v>GUSTAVO A. MADERO</x:v>
      </x:c>
      <x:c r="B340" t="str">
        <x:v>Gustavo A. Madero</x:v>
      </x:c>
      <x:c r="C340" t="str">
        <x:v>Hombre</x:v>
      </x:c>
      <x:c r="D340" t="str">
        <x:v>o) 70 a 74 años</x:v>
      </x:c>
      <x:c r="E340" s="1" t="n">
        <x:v>15486</x:v>
      </x:c>
    </x:row>
    <x:row r="341">
      <x:c r="A341" t="str">
        <x:v>GUSTAVO A. MADERO</x:v>
      </x:c>
      <x:c r="B341" t="str">
        <x:v>Gustavo A. Madero</x:v>
      </x:c>
      <x:c r="C341" t="str">
        <x:v>Hombre</x:v>
      </x:c>
      <x:c r="D341" t="str">
        <x:v>p) 75 a 79 años</x:v>
      </x:c>
      <x:c r="E341" s="1" t="n">
        <x:v>10673</x:v>
      </x:c>
    </x:row>
    <x:row r="342">
      <x:c r="A342" t="str">
        <x:v>GUSTAVO A. MADERO</x:v>
      </x:c>
      <x:c r="B342" t="str">
        <x:v>Gustavo A. Madero</x:v>
      </x:c>
      <x:c r="C342" t="str">
        <x:v>Hombre</x:v>
      </x:c>
      <x:c r="D342" t="str">
        <x:v>q) 80 a 84 años</x:v>
      </x:c>
      <x:c r="E342" s="1" t="n">
        <x:v>7062</x:v>
      </x:c>
    </x:row>
    <x:row r="343">
      <x:c r="A343" t="str">
        <x:v>GUSTAVO A. MADERO</x:v>
      </x:c>
      <x:c r="B343" t="str">
        <x:v>Gustavo A. Madero</x:v>
      </x:c>
      <x:c r="C343" t="str">
        <x:v>Hombre</x:v>
      </x:c>
      <x:c r="D343" t="str">
        <x:v>r) 85 años y más</x:v>
      </x:c>
      <x:c r="E343" s="1" t="n">
        <x:v>5681</x:v>
      </x:c>
    </x:row>
    <x:row r="344">
      <x:c r="A344" t="str">
        <x:v>GUSTAVO A. MADERO</x:v>
      </x:c>
      <x:c r="B344" t="str">
        <x:v>Gustavo A. Madero</x:v>
      </x:c>
      <x:c r="C344" t="str">
        <x:v>Mujer</x:v>
      </x:c>
      <x:c r="D344" t="str">
        <x:v>a) 0 a 4 años</x:v>
      </x:c>
      <x:c r="E344" s="1" t="n">
        <x:v>31044</x:v>
      </x:c>
    </x:row>
    <x:row r="345">
      <x:c r="A345" t="str">
        <x:v>GUSTAVO A. MADERO</x:v>
      </x:c>
      <x:c r="B345" t="str">
        <x:v>Gustavo A. Madero</x:v>
      </x:c>
      <x:c r="C345" t="str">
        <x:v>Mujer</x:v>
      </x:c>
      <x:c r="D345" t="str">
        <x:v>b) 5 a 9 años</x:v>
      </x:c>
      <x:c r="E345" s="1" t="n">
        <x:v>35361</x:v>
      </x:c>
    </x:row>
    <x:row r="346">
      <x:c r="A346" t="str">
        <x:v>GUSTAVO A. MADERO</x:v>
      </x:c>
      <x:c r="B346" t="str">
        <x:v>Gustavo A. Madero</x:v>
      </x:c>
      <x:c r="C346" t="str">
        <x:v>Mujer</x:v>
      </x:c>
      <x:c r="D346" t="str">
        <x:v>c) 10 a 14 años</x:v>
      </x:c>
      <x:c r="E346" s="1" t="n">
        <x:v>38407</x:v>
      </x:c>
    </x:row>
    <x:row r="347">
      <x:c r="A347" t="str">
        <x:v>GUSTAVO A. MADERO</x:v>
      </x:c>
      <x:c r="B347" t="str">
        <x:v>Gustavo A. Madero</x:v>
      </x:c>
      <x:c r="C347" t="str">
        <x:v>Mujer</x:v>
      </x:c>
      <x:c r="D347" t="str">
        <x:v>d) 15 a 19 años</x:v>
      </x:c>
      <x:c r="E347" s="1" t="n">
        <x:v>41281</x:v>
      </x:c>
    </x:row>
    <x:row r="348">
      <x:c r="A348" t="str">
        <x:v>GUSTAVO A. MADERO</x:v>
      </x:c>
      <x:c r="B348" t="str">
        <x:v>Gustavo A. Madero</x:v>
      </x:c>
      <x:c r="C348" t="str">
        <x:v>Mujer</x:v>
      </x:c>
      <x:c r="D348" t="str">
        <x:v>e) 20 a 24 años</x:v>
      </x:c>
      <x:c r="E348" s="1" t="n">
        <x:v>44809</x:v>
      </x:c>
    </x:row>
    <x:row r="349">
      <x:c r="A349" t="str">
        <x:v>GUSTAVO A. MADERO</x:v>
      </x:c>
      <x:c r="B349" t="str">
        <x:v>Gustavo A. Madero</x:v>
      </x:c>
      <x:c r="C349" t="str">
        <x:v>Mujer</x:v>
      </x:c>
      <x:c r="D349" t="str">
        <x:v>f) 25 a 29 años</x:v>
      </x:c>
      <x:c r="E349" s="1" t="n">
        <x:v>45079</x:v>
      </x:c>
    </x:row>
    <x:row r="350">
      <x:c r="A350" t="str">
        <x:v>GUSTAVO A. MADERO</x:v>
      </x:c>
      <x:c r="B350" t="str">
        <x:v>Gustavo A. Madero</x:v>
      </x:c>
      <x:c r="C350" t="str">
        <x:v>Mujer</x:v>
      </x:c>
      <x:c r="D350" t="str">
        <x:v>g) 30 a 34 años</x:v>
      </x:c>
      <x:c r="E350" s="1" t="n">
        <x:v>44189</x:v>
      </x:c>
    </x:row>
    <x:row r="351">
      <x:c r="A351" t="str">
        <x:v>GUSTAVO A. MADERO</x:v>
      </x:c>
      <x:c r="B351" t="str">
        <x:v>Gustavo A. Madero</x:v>
      </x:c>
      <x:c r="C351" t="str">
        <x:v>Mujer</x:v>
      </x:c>
      <x:c r="D351" t="str">
        <x:v>h) 35 a 39 años</x:v>
      </x:c>
      <x:c r="E351" s="1" t="n">
        <x:v>43083</x:v>
      </x:c>
    </x:row>
    <x:row r="352">
      <x:c r="A352" t="str">
        <x:v>GUSTAVO A. MADERO</x:v>
      </x:c>
      <x:c r="B352" t="str">
        <x:v>Gustavo A. Madero</x:v>
      </x:c>
      <x:c r="C352" t="str">
        <x:v>Mujer</x:v>
      </x:c>
      <x:c r="D352" t="str">
        <x:v>i) 40 a 44 años</x:v>
      </x:c>
      <x:c r="E352" s="1" t="n">
        <x:v>42720</x:v>
      </x:c>
    </x:row>
    <x:row r="353">
      <x:c r="A353" t="str">
        <x:v>GUSTAVO A. MADERO</x:v>
      </x:c>
      <x:c r="B353" t="str">
        <x:v>Gustavo A. Madero</x:v>
      </x:c>
      <x:c r="C353" t="str">
        <x:v>Mujer</x:v>
      </x:c>
      <x:c r="D353" t="str">
        <x:v>j) 45 a 49 años</x:v>
      </x:c>
      <x:c r="E353" s="1" t="n">
        <x:v>44866</x:v>
      </x:c>
    </x:row>
    <x:row r="354">
      <x:c r="A354" t="str">
        <x:v>GUSTAVO A. MADERO</x:v>
      </x:c>
      <x:c r="B354" t="str">
        <x:v>Gustavo A. Madero</x:v>
      </x:c>
      <x:c r="C354" t="str">
        <x:v>Mujer</x:v>
      </x:c>
      <x:c r="D354" t="str">
        <x:v>k) 50 a 54 años</x:v>
      </x:c>
      <x:c r="E354" s="1" t="n">
        <x:v>44541</x:v>
      </x:c>
    </x:row>
    <x:row r="355">
      <x:c r="A355" t="str">
        <x:v>GUSTAVO A. MADERO</x:v>
      </x:c>
      <x:c r="B355" t="str">
        <x:v>Gustavo A. Madero</x:v>
      </x:c>
      <x:c r="C355" t="str">
        <x:v>Mujer</x:v>
      </x:c>
      <x:c r="D355" t="str">
        <x:v>l) 55 a 59 años</x:v>
      </x:c>
      <x:c r="E355" s="1" t="n">
        <x:v>37842</x:v>
      </x:c>
    </x:row>
    <x:row r="356">
      <x:c r="A356" t="str">
        <x:v>GUSTAVO A. MADERO</x:v>
      </x:c>
      <x:c r="B356" t="str">
        <x:v>Gustavo A. Madero</x:v>
      </x:c>
      <x:c r="C356" t="str">
        <x:v>Mujer</x:v>
      </x:c>
      <x:c r="D356" t="str">
        <x:v>m) 60 a 64 años</x:v>
      </x:c>
      <x:c r="E356" s="1" t="n">
        <x:v>34192</x:v>
      </x:c>
    </x:row>
    <x:row r="357">
      <x:c r="A357" t="str">
        <x:v>GUSTAVO A. MADERO</x:v>
      </x:c>
      <x:c r="B357" t="str">
        <x:v>Gustavo A. Madero</x:v>
      </x:c>
      <x:c r="C357" t="str">
        <x:v>Mujer</x:v>
      </x:c>
      <x:c r="D357" t="str">
        <x:v>n) 65 a 69 años</x:v>
      </x:c>
      <x:c r="E357" s="1" t="n">
        <x:v>26030</x:v>
      </x:c>
    </x:row>
    <x:row r="358">
      <x:c r="A358" t="str">
        <x:v>GUSTAVO A. MADERO</x:v>
      </x:c>
      <x:c r="B358" t="str">
        <x:v>Gustavo A. Madero</x:v>
      </x:c>
      <x:c r="C358" t="str">
        <x:v>Mujer</x:v>
      </x:c>
      <x:c r="D358" t="str">
        <x:v>o) 70 a 74 años</x:v>
      </x:c>
      <x:c r="E358" s="1" t="n">
        <x:v>20814</x:v>
      </x:c>
    </x:row>
    <x:row r="359">
      <x:c r="A359" t="str">
        <x:v>GUSTAVO A. MADERO</x:v>
      </x:c>
      <x:c r="B359" t="str">
        <x:v>Gustavo A. Madero</x:v>
      </x:c>
      <x:c r="C359" t="str">
        <x:v>Mujer</x:v>
      </x:c>
      <x:c r="D359" t="str">
        <x:v>p) 75 a 79 años</x:v>
      </x:c>
      <x:c r="E359" s="1" t="n">
        <x:v>14406</x:v>
      </x:c>
    </x:row>
    <x:row r="360">
      <x:c r="A360" t="str">
        <x:v>GUSTAVO A. MADERO</x:v>
      </x:c>
      <x:c r="B360" t="str">
        <x:v>Gustavo A. Madero</x:v>
      </x:c>
      <x:c r="C360" t="str">
        <x:v>Mujer</x:v>
      </x:c>
      <x:c r="D360" t="str">
        <x:v>q) 80 a 84 años</x:v>
      </x:c>
      <x:c r="E360" s="1" t="n">
        <x:v>10617</x:v>
      </x:c>
    </x:row>
    <x:row r="361">
      <x:c r="A361" t="str">
        <x:v>GUSTAVO A. MADERO</x:v>
      </x:c>
      <x:c r="B361" t="str">
        <x:v>Gustavo A. Madero</x:v>
      </x:c>
      <x:c r="C361" t="str">
        <x:v>Mujer</x:v>
      </x:c>
      <x:c r="D361" t="str">
        <x:v>r) 85 años y más</x:v>
      </x:c>
      <x:c r="E361" s="1" t="n">
        <x:v>10076</x:v>
      </x:c>
    </x:row>
    <x:row r="362">
      <x:c r="A362" t="str">
        <x:v>IZTACALCO</x:v>
      </x:c>
      <x:c r="B362" t="str">
        <x:v>Iztacalco</x:v>
      </x:c>
      <x:c r="C362" t="str">
        <x:v>Hombre</x:v>
      </x:c>
      <x:c r="D362" t="str">
        <x:v>a) 0 a 4 años</x:v>
      </x:c>
      <x:c r="E362" s="1" t="n">
        <x:v>10426</x:v>
      </x:c>
    </x:row>
    <x:row r="363">
      <x:c r="A363" t="str">
        <x:v>IZTACALCO</x:v>
      </x:c>
      <x:c r="B363" t="str">
        <x:v>Iztacalco</x:v>
      </x:c>
      <x:c r="C363" t="str">
        <x:v>Hombre</x:v>
      </x:c>
      <x:c r="D363" t="str">
        <x:v>b) 5 a 9 años</x:v>
      </x:c>
      <x:c r="E363" s="1" t="n">
        <x:v>11781</x:v>
      </x:c>
    </x:row>
    <x:row r="364">
      <x:c r="A364" t="str">
        <x:v>IZTACALCO</x:v>
      </x:c>
      <x:c r="B364" t="str">
        <x:v>Iztacalco</x:v>
      </x:c>
      <x:c r="C364" t="str">
        <x:v>Hombre</x:v>
      </x:c>
      <x:c r="D364" t="str">
        <x:v>c) 10 a 14 años</x:v>
      </x:c>
      <x:c r="E364" s="1" t="n">
        <x:v>12900</x:v>
      </x:c>
    </x:row>
    <x:row r="365">
      <x:c r="A365" t="str">
        <x:v>IZTACALCO</x:v>
      </x:c>
      <x:c r="B365" t="str">
        <x:v>Iztacalco</x:v>
      </x:c>
      <x:c r="C365" t="str">
        <x:v>Hombre</x:v>
      </x:c>
      <x:c r="D365" t="str">
        <x:v>d) 15 a 19 años</x:v>
      </x:c>
      <x:c r="E365" s="1" t="n">
        <x:v>14264</x:v>
      </x:c>
    </x:row>
    <x:row r="366">
      <x:c r="A366" t="str">
        <x:v>IZTACALCO</x:v>
      </x:c>
      <x:c r="B366" t="str">
        <x:v>Iztacalco</x:v>
      </x:c>
      <x:c r="C366" t="str">
        <x:v>Hombre</x:v>
      </x:c>
      <x:c r="D366" t="str">
        <x:v>e) 20 a 24 años</x:v>
      </x:c>
      <x:c r="E366" s="1" t="n">
        <x:v>15348</x:v>
      </x:c>
    </x:row>
    <x:row r="367">
      <x:c r="A367" t="str">
        <x:v>IZTACALCO</x:v>
      </x:c>
      <x:c r="B367" t="str">
        <x:v>Iztacalco</x:v>
      </x:c>
      <x:c r="C367" t="str">
        <x:v>Hombre</x:v>
      </x:c>
      <x:c r="D367" t="str">
        <x:v>f) 25 a 29 años</x:v>
      </x:c>
      <x:c r="E367" s="1" t="n">
        <x:v>15573</x:v>
      </x:c>
    </x:row>
    <x:row r="368">
      <x:c r="A368" t="str">
        <x:v>IZTACALCO</x:v>
      </x:c>
      <x:c r="B368" t="str">
        <x:v>Iztacalco</x:v>
      </x:c>
      <x:c r="C368" t="str">
        <x:v>Hombre</x:v>
      </x:c>
      <x:c r="D368" t="str">
        <x:v>g) 30 a 34 años</x:v>
      </x:c>
      <x:c r="E368" s="1" t="n">
        <x:v>15482</x:v>
      </x:c>
    </x:row>
    <x:row r="369">
      <x:c r="A369" t="str">
        <x:v>IZTACALCO</x:v>
      </x:c>
      <x:c r="B369" t="str">
        <x:v>Iztacalco</x:v>
      </x:c>
      <x:c r="C369" t="str">
        <x:v>Hombre</x:v>
      </x:c>
      <x:c r="D369" t="str">
        <x:v>h) 35 a 39 años</x:v>
      </x:c>
      <x:c r="E369" s="1" t="n">
        <x:v>14487</x:v>
      </x:c>
    </x:row>
    <x:row r="370">
      <x:c r="A370" t="str">
        <x:v>IZTACALCO</x:v>
      </x:c>
      <x:c r="B370" t="str">
        <x:v>Iztacalco</x:v>
      </x:c>
      <x:c r="C370" t="str">
        <x:v>Hombre</x:v>
      </x:c>
      <x:c r="D370" t="str">
        <x:v>i) 40 a 44 años</x:v>
      </x:c>
      <x:c r="E370" s="1" t="n">
        <x:v>13514</x:v>
      </x:c>
    </x:row>
    <x:row r="371">
      <x:c r="A371" t="str">
        <x:v>IZTACALCO</x:v>
      </x:c>
      <x:c r="B371" t="str">
        <x:v>Iztacalco</x:v>
      </x:c>
      <x:c r="C371" t="str">
        <x:v>Hombre</x:v>
      </x:c>
      <x:c r="D371" t="str">
        <x:v>j) 45 a 49 años</x:v>
      </x:c>
      <x:c r="E371" s="1" t="n">
        <x:v>14074</x:v>
      </x:c>
    </x:row>
    <x:row r="372">
      <x:c r="A372" t="str">
        <x:v>IZTACALCO</x:v>
      </x:c>
      <x:c r="B372" t="str">
        <x:v>Iztacalco</x:v>
      </x:c>
      <x:c r="C372" t="str">
        <x:v>Hombre</x:v>
      </x:c>
      <x:c r="D372" t="str">
        <x:v>k) 50 a 54 años</x:v>
      </x:c>
      <x:c r="E372" s="1" t="n">
        <x:v>13188</x:v>
      </x:c>
    </x:row>
    <x:row r="373">
      <x:c r="A373" t="str">
        <x:v>IZTACALCO</x:v>
      </x:c>
      <x:c r="B373" t="str">
        <x:v>Iztacalco</x:v>
      </x:c>
      <x:c r="C373" t="str">
        <x:v>Hombre</x:v>
      </x:c>
      <x:c r="D373" t="str">
        <x:v>l) 55 a 59 años</x:v>
      </x:c>
      <x:c r="E373" s="1" t="n">
        <x:v>11269</x:v>
      </x:c>
    </x:row>
    <x:row r="374">
      <x:c r="A374" t="str">
        <x:v>IZTACALCO</x:v>
      </x:c>
      <x:c r="B374" t="str">
        <x:v>Iztacalco</x:v>
      </x:c>
      <x:c r="C374" t="str">
        <x:v>Hombre</x:v>
      </x:c>
      <x:c r="D374" t="str">
        <x:v>m) 60 a 64 años</x:v>
      </x:c>
      <x:c r="E374" s="1" t="n">
        <x:v>9660</x:v>
      </x:c>
    </x:row>
    <x:row r="375">
      <x:c r="A375" t="str">
        <x:v>IZTACALCO</x:v>
      </x:c>
      <x:c r="B375" t="str">
        <x:v>Iztacalco</x:v>
      </x:c>
      <x:c r="C375" t="str">
        <x:v>Hombre</x:v>
      </x:c>
      <x:c r="D375" t="str">
        <x:v>n) 65 a 69 años</x:v>
      </x:c>
      <x:c r="E375" s="1" t="n">
        <x:v>7097</x:v>
      </x:c>
    </x:row>
    <x:row r="376">
      <x:c r="A376" t="str">
        <x:v>IZTACALCO</x:v>
      </x:c>
      <x:c r="B376" t="str">
        <x:v>Iztacalco</x:v>
      </x:c>
      <x:c r="C376" t="str">
        <x:v>Hombre</x:v>
      </x:c>
      <x:c r="D376" t="str">
        <x:v>o) 70 a 74 años</x:v>
      </x:c>
      <x:c r="E376" s="1" t="n">
        <x:v>5192</x:v>
      </x:c>
    </x:row>
    <x:row r="377">
      <x:c r="A377" t="str">
        <x:v>IZTACALCO</x:v>
      </x:c>
      <x:c r="B377" t="str">
        <x:v>Iztacalco</x:v>
      </x:c>
      <x:c r="C377" t="str">
        <x:v>Hombre</x:v>
      </x:c>
      <x:c r="D377" t="str">
        <x:v>p) 75 a 79 años</x:v>
      </x:c>
      <x:c r="E377" s="1" t="n">
        <x:v>3488</x:v>
      </x:c>
    </x:row>
    <x:row r="378">
      <x:c r="A378" t="str">
        <x:v>IZTACALCO</x:v>
      </x:c>
      <x:c r="B378" t="str">
        <x:v>Iztacalco</x:v>
      </x:c>
      <x:c r="C378" t="str">
        <x:v>Hombre</x:v>
      </x:c>
      <x:c r="D378" t="str">
        <x:v>q) 80 a 84 años</x:v>
      </x:c>
      <x:c r="E378" s="1" t="n">
        <x:v>2400</x:v>
      </x:c>
    </x:row>
    <x:row r="379">
      <x:c r="A379" t="str">
        <x:v>IZTACALCO</x:v>
      </x:c>
      <x:c r="B379" t="str">
        <x:v>Iztacalco</x:v>
      </x:c>
      <x:c r="C379" t="str">
        <x:v>Hombre</x:v>
      </x:c>
      <x:c r="D379" t="str">
        <x:v>r) 85 años y más</x:v>
      </x:c>
      <x:c r="E379" s="1" t="n">
        <x:v>2121</x:v>
      </x:c>
    </x:row>
    <x:row r="380">
      <x:c r="A380" t="str">
        <x:v>IZTACALCO</x:v>
      </x:c>
      <x:c r="B380" t="str">
        <x:v>Iztacalco</x:v>
      </x:c>
      <x:c r="C380" t="str">
        <x:v>Mujer</x:v>
      </x:c>
      <x:c r="D380" t="str">
        <x:v>a) 0 a 4 años</x:v>
      </x:c>
      <x:c r="E380" s="1" t="n">
        <x:v>10040</x:v>
      </x:c>
    </x:row>
    <x:row r="381">
      <x:c r="A381" t="str">
        <x:v>IZTACALCO</x:v>
      </x:c>
      <x:c r="B381" t="str">
        <x:v>Iztacalco</x:v>
      </x:c>
      <x:c r="C381" t="str">
        <x:v>Mujer</x:v>
      </x:c>
      <x:c r="D381" t="str">
        <x:v>b) 5 a 9 años</x:v>
      </x:c>
      <x:c r="E381" s="1" t="n">
        <x:v>11495</x:v>
      </x:c>
    </x:row>
    <x:row r="382">
      <x:c r="A382" t="str">
        <x:v>IZTACALCO</x:v>
      </x:c>
      <x:c r="B382" t="str">
        <x:v>Iztacalco</x:v>
      </x:c>
      <x:c r="C382" t="str">
        <x:v>Mujer</x:v>
      </x:c>
      <x:c r="D382" t="str">
        <x:v>c) 10 a 14 años</x:v>
      </x:c>
      <x:c r="E382" s="1" t="n">
        <x:v>12670</x:v>
      </x:c>
    </x:row>
    <x:row r="383">
      <x:c r="A383" t="str">
        <x:v>IZTACALCO</x:v>
      </x:c>
      <x:c r="B383" t="str">
        <x:v>Iztacalco</x:v>
      </x:c>
      <x:c r="C383" t="str">
        <x:v>Mujer</x:v>
      </x:c>
      <x:c r="D383" t="str">
        <x:v>d) 15 a 19 años</x:v>
      </x:c>
      <x:c r="E383" s="1" t="n">
        <x:v>13495</x:v>
      </x:c>
    </x:row>
    <x:row r="384">
      <x:c r="A384" t="str">
        <x:v>IZTACALCO</x:v>
      </x:c>
      <x:c r="B384" t="str">
        <x:v>Iztacalco</x:v>
      </x:c>
      <x:c r="C384" t="str">
        <x:v>Mujer</x:v>
      </x:c>
      <x:c r="D384" t="str">
        <x:v>e) 20 a 24 años</x:v>
      </x:c>
      <x:c r="E384" s="1" t="n">
        <x:v>15293</x:v>
      </x:c>
    </x:row>
    <x:row r="385">
      <x:c r="A385" t="str">
        <x:v>IZTACALCO</x:v>
      </x:c>
      <x:c r="B385" t="str">
        <x:v>Iztacalco</x:v>
      </x:c>
      <x:c r="C385" t="str">
        <x:v>Mujer</x:v>
      </x:c>
      <x:c r="D385" t="str">
        <x:v>f) 25 a 29 años</x:v>
      </x:c>
      <x:c r="E385" s="1" t="n">
        <x:v>16154</x:v>
      </x:c>
    </x:row>
    <x:row r="386">
      <x:c r="A386" t="str">
        <x:v>IZTACALCO</x:v>
      </x:c>
      <x:c r="B386" t="str">
        <x:v>Iztacalco</x:v>
      </x:c>
      <x:c r="C386" t="str">
        <x:v>Mujer</x:v>
      </x:c>
      <x:c r="D386" t="str">
        <x:v>g) 30 a 34 años</x:v>
      </x:c>
      <x:c r="E386" s="1" t="n">
        <x:v>16253</x:v>
      </x:c>
    </x:row>
    <x:row r="387">
      <x:c r="A387" t="str">
        <x:v>IZTACALCO</x:v>
      </x:c>
      <x:c r="B387" t="str">
        <x:v>Iztacalco</x:v>
      </x:c>
      <x:c r="C387" t="str">
        <x:v>Mujer</x:v>
      </x:c>
      <x:c r="D387" t="str">
        <x:v>h) 35 a 39 años</x:v>
      </x:c>
      <x:c r="E387" s="1" t="n">
        <x:v>15620</x:v>
      </x:c>
    </x:row>
    <x:row r="388">
      <x:c r="A388" t="str">
        <x:v>IZTACALCO</x:v>
      </x:c>
      <x:c r="B388" t="str">
        <x:v>Iztacalco</x:v>
      </x:c>
      <x:c r="C388" t="str">
        <x:v>Mujer</x:v>
      </x:c>
      <x:c r="D388" t="str">
        <x:v>i) 40 a 44 años</x:v>
      </x:c>
      <x:c r="E388" s="1" t="n">
        <x:v>15234</x:v>
      </x:c>
    </x:row>
    <x:row r="389">
      <x:c r="A389" t="str">
        <x:v>IZTACALCO</x:v>
      </x:c>
      <x:c r="B389" t="str">
        <x:v>Iztacalco</x:v>
      </x:c>
      <x:c r="C389" t="str">
        <x:v>Mujer</x:v>
      </x:c>
      <x:c r="D389" t="str">
        <x:v>j) 45 a 49 años</x:v>
      </x:c>
      <x:c r="E389" s="1" t="n">
        <x:v>16002</x:v>
      </x:c>
    </x:row>
    <x:row r="390">
      <x:c r="A390" t="str">
        <x:v>IZTACALCO</x:v>
      </x:c>
      <x:c r="B390" t="str">
        <x:v>Iztacalco</x:v>
      </x:c>
      <x:c r="C390" t="str">
        <x:v>Mujer</x:v>
      </x:c>
      <x:c r="D390" t="str">
        <x:v>k) 50 a 54 años</x:v>
      </x:c>
      <x:c r="E390" s="1" t="n">
        <x:v>15712</x:v>
      </x:c>
    </x:row>
    <x:row r="391">
      <x:c r="A391" t="str">
        <x:v>IZTACALCO</x:v>
      </x:c>
      <x:c r="B391" t="str">
        <x:v>Iztacalco</x:v>
      </x:c>
      <x:c r="C391" t="str">
        <x:v>Mujer</x:v>
      </x:c>
      <x:c r="D391" t="str">
        <x:v>l) 55 a 59 años</x:v>
      </x:c>
      <x:c r="E391" s="1" t="n">
        <x:v>13336</x:v>
      </x:c>
    </x:row>
    <x:row r="392">
      <x:c r="A392" t="str">
        <x:v>IZTACALCO</x:v>
      </x:c>
      <x:c r="B392" t="str">
        <x:v>Iztacalco</x:v>
      </x:c>
      <x:c r="C392" t="str">
        <x:v>Mujer</x:v>
      </x:c>
      <x:c r="D392" t="str">
        <x:v>m) 60 a 64 años</x:v>
      </x:c>
      <x:c r="E392" s="1" t="n">
        <x:v>12173</x:v>
      </x:c>
    </x:row>
    <x:row r="393">
      <x:c r="A393" t="str">
        <x:v>IZTACALCO</x:v>
      </x:c>
      <x:c r="B393" t="str">
        <x:v>Iztacalco</x:v>
      </x:c>
      <x:c r="C393" t="str">
        <x:v>Mujer</x:v>
      </x:c>
      <x:c r="D393" t="str">
        <x:v>n) 65 a 69 años</x:v>
      </x:c>
      <x:c r="E393" s="1" t="n">
        <x:v>9195</x:v>
      </x:c>
    </x:row>
    <x:row r="394">
      <x:c r="A394" t="str">
        <x:v>IZTACALCO</x:v>
      </x:c>
      <x:c r="B394" t="str">
        <x:v>Iztacalco</x:v>
      </x:c>
      <x:c r="C394" t="str">
        <x:v>Mujer</x:v>
      </x:c>
      <x:c r="D394" t="str">
        <x:v>o) 70 a 74 años</x:v>
      </x:c>
      <x:c r="E394" s="1" t="n">
        <x:v>7208</x:v>
      </x:c>
    </x:row>
    <x:row r="395">
      <x:c r="A395" t="str">
        <x:v>IZTACALCO</x:v>
      </x:c>
      <x:c r="B395" t="str">
        <x:v>Iztacalco</x:v>
      </x:c>
      <x:c r="C395" t="str">
        <x:v>Mujer</x:v>
      </x:c>
      <x:c r="D395" t="str">
        <x:v>p) 75 a 79 años</x:v>
      </x:c>
      <x:c r="E395" s="1" t="n">
        <x:v>4907</x:v>
      </x:c>
    </x:row>
    <x:row r="396">
      <x:c r="A396" t="str">
        <x:v>IZTACALCO</x:v>
      </x:c>
      <x:c r="B396" t="str">
        <x:v>Iztacalco</x:v>
      </x:c>
      <x:c r="C396" t="str">
        <x:v>Mujer</x:v>
      </x:c>
      <x:c r="D396" t="str">
        <x:v>q) 80 a 84 años</x:v>
      </x:c>
      <x:c r="E396" s="1" t="n">
        <x:v>3774</x:v>
      </x:c>
    </x:row>
    <x:row r="397">
      <x:c r="A397" t="str">
        <x:v>IZTACALCO</x:v>
      </x:c>
      <x:c r="B397" t="str">
        <x:v>Iztacalco</x:v>
      </x:c>
      <x:c r="C397" t="str">
        <x:v>Mujer</x:v>
      </x:c>
      <x:c r="D397" t="str">
        <x:v>r) 85 años y más</x:v>
      </x:c>
      <x:c r="E397" s="1" t="n">
        <x:v>3692</x:v>
      </x:c>
    </x:row>
    <x:row r="398">
      <x:c r="A398" t="str">
        <x:v>IZTAPALAPA</x:v>
      </x:c>
      <x:c r="B398" t="str">
        <x:v>Iztapalapa</x:v>
      </x:c>
      <x:c r="C398" t="str">
        <x:v>Hombre</x:v>
      </x:c>
      <x:c r="D398" t="str">
        <x:v>a) 0 a 4 años</x:v>
      </x:c>
      <x:c r="E398" s="1" t="n">
        <x:v>52070</x:v>
      </x:c>
    </x:row>
    <x:row r="399">
      <x:c r="A399" t="str">
        <x:v>IZTAPALAPA</x:v>
      </x:c>
      <x:c r="B399" t="str">
        <x:v>Iztapalapa</x:v>
      </x:c>
      <x:c r="C399" t="str">
        <x:v>Hombre</x:v>
      </x:c>
      <x:c r="D399" t="str">
        <x:v>b) 5 a 9 años</x:v>
      </x:c>
      <x:c r="E399" s="1" t="n">
        <x:v>64449</x:v>
      </x:c>
    </x:row>
    <x:row r="400">
      <x:c r="A400" t="str">
        <x:v>IZTAPALAPA</x:v>
      </x:c>
      <x:c r="B400" t="str">
        <x:v>Iztapalapa</x:v>
      </x:c>
      <x:c r="C400" t="str">
        <x:v>Hombre</x:v>
      </x:c>
      <x:c r="D400" t="str">
        <x:v>c) 10 a 14 años</x:v>
      </x:c>
      <x:c r="E400" s="1" t="n">
        <x:v>69528</x:v>
      </x:c>
    </x:row>
    <x:row r="401">
      <x:c r="A401" t="str">
        <x:v>IZTAPALAPA</x:v>
      </x:c>
      <x:c r="B401" t="str">
        <x:v>Iztapalapa</x:v>
      </x:c>
      <x:c r="C401" t="str">
        <x:v>Hombre</x:v>
      </x:c>
      <x:c r="D401" t="str">
        <x:v>d) 15 a 19 años</x:v>
      </x:c>
      <x:c r="E401" s="1" t="n">
        <x:v>73108</x:v>
      </x:c>
    </x:row>
    <x:row r="402">
      <x:c r="A402" t="str">
        <x:v>IZTAPALAPA</x:v>
      </x:c>
      <x:c r="B402" t="str">
        <x:v>Iztapalapa</x:v>
      </x:c>
      <x:c r="C402" t="str">
        <x:v>Hombre</x:v>
      </x:c>
      <x:c r="D402" t="str">
        <x:v>e) 20 a 24 años</x:v>
      </x:c>
      <x:c r="E402" s="1" t="n">
        <x:v>75828</x:v>
      </x:c>
    </x:row>
    <x:row r="403">
      <x:c r="A403" t="str">
        <x:v>IZTAPALAPA</x:v>
      </x:c>
      <x:c r="B403" t="str">
        <x:v>Iztapalapa</x:v>
      </x:c>
      <x:c r="C403" t="str">
        <x:v>Hombre</x:v>
      </x:c>
      <x:c r="D403" t="str">
        <x:v>f) 25 a 29 años</x:v>
      </x:c>
      <x:c r="E403" s="1" t="n">
        <x:v>75498</x:v>
      </x:c>
    </x:row>
    <x:row r="404">
      <x:c r="A404" t="str">
        <x:v>IZTAPALAPA</x:v>
      </x:c>
      <x:c r="B404" t="str">
        <x:v>Iztapalapa</x:v>
      </x:c>
      <x:c r="C404" t="str">
        <x:v>Hombre</x:v>
      </x:c>
      <x:c r="D404" t="str">
        <x:v>g) 30 a 34 años</x:v>
      </x:c>
      <x:c r="E404" s="1" t="n">
        <x:v>71308</x:v>
      </x:c>
    </x:row>
    <x:row r="405">
      <x:c r="A405" t="str">
        <x:v>IZTAPALAPA</x:v>
      </x:c>
      <x:c r="B405" t="str">
        <x:v>Iztapalapa</x:v>
      </x:c>
      <x:c r="C405" t="str">
        <x:v>Hombre</x:v>
      </x:c>
      <x:c r="D405" t="str">
        <x:v>h) 35 a 39 años</x:v>
      </x:c>
      <x:c r="E405" s="1" t="n">
        <x:v>66445</x:v>
      </x:c>
    </x:row>
    <x:row r="406">
      <x:c r="A406" t="str">
        <x:v>IZTAPALAPA</x:v>
      </x:c>
      <x:c r="B406" t="str">
        <x:v>Iztapalapa</x:v>
      </x:c>
      <x:c r="C406" t="str">
        <x:v>Hombre</x:v>
      </x:c>
      <x:c r="D406" t="str">
        <x:v>i) 40 a 44 años</x:v>
      </x:c>
      <x:c r="E406" s="1" t="n">
        <x:v>62646</x:v>
      </x:c>
    </x:row>
    <x:row r="407">
      <x:c r="A407" t="str">
        <x:v>IZTAPALAPA</x:v>
      </x:c>
      <x:c r="B407" t="str">
        <x:v>Iztapalapa</x:v>
      </x:c>
      <x:c r="C407" t="str">
        <x:v>Hombre</x:v>
      </x:c>
      <x:c r="D407" t="str">
        <x:v>j) 45 a 49 años</x:v>
      </x:c>
      <x:c r="E407" s="1" t="n">
        <x:v>61013</x:v>
      </x:c>
    </x:row>
    <x:row r="408">
      <x:c r="A408" t="str">
        <x:v>IZTAPALAPA</x:v>
      </x:c>
      <x:c r="B408" t="str">
        <x:v>Iztapalapa</x:v>
      </x:c>
      <x:c r="C408" t="str">
        <x:v>Hombre</x:v>
      </x:c>
      <x:c r="D408" t="str">
        <x:v>k) 50 a 54 años</x:v>
      </x:c>
      <x:c r="E408" s="1" t="n">
        <x:v>54898</x:v>
      </x:c>
    </x:row>
    <x:row r="409">
      <x:c r="A409" t="str">
        <x:v>IZTAPALAPA</x:v>
      </x:c>
      <x:c r="B409" t="str">
        <x:v>Iztapalapa</x:v>
      </x:c>
      <x:c r="C409" t="str">
        <x:v>Hombre</x:v>
      </x:c>
      <x:c r="D409" t="str">
        <x:v>l) 55 a 59 años</x:v>
      </x:c>
      <x:c r="E409" s="1" t="n">
        <x:v>45370</x:v>
      </x:c>
    </x:row>
    <x:row r="410">
      <x:c r="A410" t="str">
        <x:v>IZTAPALAPA</x:v>
      </x:c>
      <x:c r="B410" t="str">
        <x:v>Iztapalapa</x:v>
      </x:c>
      <x:c r="C410" t="str">
        <x:v>Hombre</x:v>
      </x:c>
      <x:c r="D410" t="str">
        <x:v>m) 60 a 64 años</x:v>
      </x:c>
      <x:c r="E410" s="1" t="n">
        <x:v>39606</x:v>
      </x:c>
    </x:row>
    <x:row r="411">
      <x:c r="A411" t="str">
        <x:v>IZTAPALAPA</x:v>
      </x:c>
      <x:c r="B411" t="str">
        <x:v>Iztapalapa</x:v>
      </x:c>
      <x:c r="C411" t="str">
        <x:v>Hombre</x:v>
      </x:c>
      <x:c r="D411" t="str">
        <x:v>n) 65 a 69 años</x:v>
      </x:c>
      <x:c r="E411" s="1" t="n">
        <x:v>29058</x:v>
      </x:c>
    </x:row>
    <x:row r="412">
      <x:c r="A412" t="str">
        <x:v>IZTAPALAPA</x:v>
      </x:c>
      <x:c r="B412" t="str">
        <x:v>Iztapalapa</x:v>
      </x:c>
      <x:c r="C412" t="str">
        <x:v>Hombre</x:v>
      </x:c>
      <x:c r="D412" t="str">
        <x:v>o) 70 a 74 años</x:v>
      </x:c>
      <x:c r="E412" s="1" t="n">
        <x:v>20815</x:v>
      </x:c>
    </x:row>
    <x:row r="413">
      <x:c r="A413" t="str">
        <x:v>IZTAPALAPA</x:v>
      </x:c>
      <x:c r="B413" t="str">
        <x:v>Iztapalapa</x:v>
      </x:c>
      <x:c r="C413" t="str">
        <x:v>Hombre</x:v>
      </x:c>
      <x:c r="D413" t="str">
        <x:v>p) 75 a 79 años</x:v>
      </x:c>
      <x:c r="E413" s="1" t="n">
        <x:v>12994</x:v>
      </x:c>
    </x:row>
    <x:row r="414">
      <x:c r="A414" t="str">
        <x:v>IZTAPALAPA</x:v>
      </x:c>
      <x:c r="B414" t="str">
        <x:v>Iztapalapa</x:v>
      </x:c>
      <x:c r="C414" t="str">
        <x:v>Hombre</x:v>
      </x:c>
      <x:c r="D414" t="str">
        <x:v>q) 80 a 84 años</x:v>
      </x:c>
      <x:c r="E414" s="1" t="n">
        <x:v>7309</x:v>
      </x:c>
    </x:row>
    <x:row r="415">
      <x:c r="A415" t="str">
        <x:v>IZTAPALAPA</x:v>
      </x:c>
      <x:c r="B415" t="str">
        <x:v>Iztapalapa</x:v>
      </x:c>
      <x:c r="C415" t="str">
        <x:v>Hombre</x:v>
      </x:c>
      <x:c r="D415" t="str">
        <x:v>r) 85 años y más</x:v>
      </x:c>
      <x:c r="E415" s="1" t="n">
        <x:v>5513</x:v>
      </x:c>
    </x:row>
    <x:row r="416">
      <x:c r="A416" t="str">
        <x:v>IZTAPALAPA</x:v>
      </x:c>
      <x:c r="B416" t="str">
        <x:v>Iztapalapa</x:v>
      </x:c>
      <x:c r="C416" t="str">
        <x:v>Mujer</x:v>
      </x:c>
      <x:c r="D416" t="str">
        <x:v>a) 0 a 4 años</x:v>
      </x:c>
      <x:c r="E416" s="1" t="n">
        <x:v>51078</x:v>
      </x:c>
    </x:row>
    <x:row r="417">
      <x:c r="A417" t="str">
        <x:v>IZTAPALAPA</x:v>
      </x:c>
      <x:c r="B417" t="str">
        <x:v>Iztapalapa</x:v>
      </x:c>
      <x:c r="C417" t="str">
        <x:v>Mujer</x:v>
      </x:c>
      <x:c r="D417" t="str">
        <x:v>b) 5 a 9 años</x:v>
      </x:c>
      <x:c r="E417" s="1" t="n">
        <x:v>62279</x:v>
      </x:c>
    </x:row>
    <x:row r="418">
      <x:c r="A418" t="str">
        <x:v>IZTAPALAPA</x:v>
      </x:c>
      <x:c r="B418" t="str">
        <x:v>Iztapalapa</x:v>
      </x:c>
      <x:c r="C418" t="str">
        <x:v>Mujer</x:v>
      </x:c>
      <x:c r="D418" t="str">
        <x:v>c) 10 a 14 años</x:v>
      </x:c>
      <x:c r="E418" s="1" t="n">
        <x:v>67431</x:v>
      </x:c>
    </x:row>
    <x:row r="419">
      <x:c r="A419" t="str">
        <x:v>IZTAPALAPA</x:v>
      </x:c>
      <x:c r="B419" t="str">
        <x:v>Iztapalapa</x:v>
      </x:c>
      <x:c r="C419" t="str">
        <x:v>Mujer</x:v>
      </x:c>
      <x:c r="D419" t="str">
        <x:v>d) 15 a 19 años</x:v>
      </x:c>
      <x:c r="E419" s="1" t="n">
        <x:v>70085</x:v>
      </x:c>
    </x:row>
    <x:row r="420">
      <x:c r="A420" t="str">
        <x:v>IZTAPALAPA</x:v>
      </x:c>
      <x:c r="B420" t="str">
        <x:v>Iztapalapa</x:v>
      </x:c>
      <x:c r="C420" t="str">
        <x:v>Mujer</x:v>
      </x:c>
      <x:c r="D420" t="str">
        <x:v>e) 20 a 24 años</x:v>
      </x:c>
      <x:c r="E420" s="1" t="n">
        <x:v>74912</x:v>
      </x:c>
    </x:row>
    <x:row r="421">
      <x:c r="A421" t="str">
        <x:v>IZTAPALAPA</x:v>
      </x:c>
      <x:c r="B421" t="str">
        <x:v>Iztapalapa</x:v>
      </x:c>
      <x:c r="C421" t="str">
        <x:v>Mujer</x:v>
      </x:c>
      <x:c r="D421" t="str">
        <x:v>f) 25 a 29 años</x:v>
      </x:c>
      <x:c r="E421" s="1" t="n">
        <x:v>76092</x:v>
      </x:c>
    </x:row>
    <x:row r="422">
      <x:c r="A422" t="str">
        <x:v>IZTAPALAPA</x:v>
      </x:c>
      <x:c r="B422" t="str">
        <x:v>Iztapalapa</x:v>
      </x:c>
      <x:c r="C422" t="str">
        <x:v>Mujer</x:v>
      </x:c>
      <x:c r="D422" t="str">
        <x:v>g) 30 a 34 años</x:v>
      </x:c>
      <x:c r="E422" s="1" t="n">
        <x:v>73562</x:v>
      </x:c>
    </x:row>
    <x:row r="423">
      <x:c r="A423" t="str">
        <x:v>IZTAPALAPA</x:v>
      </x:c>
      <x:c r="B423" t="str">
        <x:v>Iztapalapa</x:v>
      </x:c>
      <x:c r="C423" t="str">
        <x:v>Mujer</x:v>
      </x:c>
      <x:c r="D423" t="str">
        <x:v>h) 35 a 39 años</x:v>
      </x:c>
      <x:c r="E423" s="1" t="n">
        <x:v>70485</x:v>
      </x:c>
    </x:row>
    <x:row r="424">
      <x:c r="A424" t="str">
        <x:v>IZTAPALAPA</x:v>
      </x:c>
      <x:c r="B424" t="str">
        <x:v>Iztapalapa</x:v>
      </x:c>
      <x:c r="C424" t="str">
        <x:v>Mujer</x:v>
      </x:c>
      <x:c r="D424" t="str">
        <x:v>i) 40 a 44 años</x:v>
      </x:c>
      <x:c r="E424" s="1" t="n">
        <x:v>68867</x:v>
      </x:c>
    </x:row>
    <x:row r="425">
      <x:c r="A425" t="str">
        <x:v>IZTAPALAPA</x:v>
      </x:c>
      <x:c r="B425" t="str">
        <x:v>Iztapalapa</x:v>
      </x:c>
      <x:c r="C425" t="str">
        <x:v>Mujer</x:v>
      </x:c>
      <x:c r="D425" t="str">
        <x:v>j) 45 a 49 años</x:v>
      </x:c>
      <x:c r="E425" s="1" t="n">
        <x:v>68372</x:v>
      </x:c>
    </x:row>
    <x:row r="426">
      <x:c r="A426" t="str">
        <x:v>IZTAPALAPA</x:v>
      </x:c>
      <x:c r="B426" t="str">
        <x:v>Iztapalapa</x:v>
      </x:c>
      <x:c r="C426" t="str">
        <x:v>Mujer</x:v>
      </x:c>
      <x:c r="D426" t="str">
        <x:v>k) 50 a 54 años</x:v>
      </x:c>
      <x:c r="E426" s="1" t="n">
        <x:v>63783</x:v>
      </x:c>
    </x:row>
    <x:row r="427">
      <x:c r="A427" t="str">
        <x:v>IZTAPALAPA</x:v>
      </x:c>
      <x:c r="B427" t="str">
        <x:v>Iztapalapa</x:v>
      </x:c>
      <x:c r="C427" t="str">
        <x:v>Mujer</x:v>
      </x:c>
      <x:c r="D427" t="str">
        <x:v>l) 55 a 59 años</x:v>
      </x:c>
      <x:c r="E427" s="1" t="n">
        <x:v>53920</x:v>
      </x:c>
    </x:row>
    <x:row r="428">
      <x:c r="A428" t="str">
        <x:v>IZTAPALAPA</x:v>
      </x:c>
      <x:c r="B428" t="str">
        <x:v>Iztapalapa</x:v>
      </x:c>
      <x:c r="C428" t="str">
        <x:v>Mujer</x:v>
      </x:c>
      <x:c r="D428" t="str">
        <x:v>m) 60 a 64 años</x:v>
      </x:c>
      <x:c r="E428" s="1" t="n">
        <x:v>48146</x:v>
      </x:c>
    </x:row>
    <x:row r="429">
      <x:c r="A429" t="str">
        <x:v>IZTAPALAPA</x:v>
      </x:c>
      <x:c r="B429" t="str">
        <x:v>Iztapalapa</x:v>
      </x:c>
      <x:c r="C429" t="str">
        <x:v>Mujer</x:v>
      </x:c>
      <x:c r="D429" t="str">
        <x:v>n) 65 a 69 años</x:v>
      </x:c>
      <x:c r="E429" s="1" t="n">
        <x:v>35877</x:v>
      </x:c>
    </x:row>
    <x:row r="430">
      <x:c r="A430" t="str">
        <x:v>IZTAPALAPA</x:v>
      </x:c>
      <x:c r="B430" t="str">
        <x:v>Iztapalapa</x:v>
      </x:c>
      <x:c r="C430" t="str">
        <x:v>Mujer</x:v>
      </x:c>
      <x:c r="D430" t="str">
        <x:v>o) 70 a 74 años</x:v>
      </x:c>
      <x:c r="E430" s="1" t="n">
        <x:v>26051</x:v>
      </x:c>
    </x:row>
    <x:row r="431">
      <x:c r="A431" t="str">
        <x:v>IZTAPALAPA</x:v>
      </x:c>
      <x:c r="B431" t="str">
        <x:v>Iztapalapa</x:v>
      </x:c>
      <x:c r="C431" t="str">
        <x:v>Mujer</x:v>
      </x:c>
      <x:c r="D431" t="str">
        <x:v>p) 75 a 79 años</x:v>
      </x:c>
      <x:c r="E431" s="1" t="n">
        <x:v>16469</x:v>
      </x:c>
    </x:row>
    <x:row r="432">
      <x:c r="A432" t="str">
        <x:v>IZTAPALAPA</x:v>
      </x:c>
      <x:c r="B432" t="str">
        <x:v>Iztapalapa</x:v>
      </x:c>
      <x:c r="C432" t="str">
        <x:v>Mujer</x:v>
      </x:c>
      <x:c r="D432" t="str">
        <x:v>q) 80 a 84 años</x:v>
      </x:c>
      <x:c r="E432" s="1" t="n">
        <x:v>10539</x:v>
      </x:c>
    </x:row>
    <x:row r="433">
      <x:c r="A433" t="str">
        <x:v>IZTAPALAPA</x:v>
      </x:c>
      <x:c r="B433" t="str">
        <x:v>Iztapalapa</x:v>
      </x:c>
      <x:c r="C433" t="str">
        <x:v>Mujer</x:v>
      </x:c>
      <x:c r="D433" t="str">
        <x:v>r) 85 años y más</x:v>
      </x:c>
      <x:c r="E433" s="1" t="n">
        <x:v>9687</x:v>
      </x:c>
    </x:row>
    <x:row r="434">
      <x:c r="A434" t="str">
        <x:v>LA MAGDALENA CONTRERAS</x:v>
      </x:c>
      <x:c r="B434" t="str">
        <x:v>La Magdalena Contreras</x:v>
      </x:c>
      <x:c r="C434" t="str">
        <x:v>Hombre</x:v>
      </x:c>
      <x:c r="D434" t="str">
        <x:v>a) 0 a 4 años</x:v>
      </x:c>
      <x:c r="E434" s="1" t="n">
        <x:v>6461</x:v>
      </x:c>
    </x:row>
    <x:row r="435">
      <x:c r="A435" t="str">
        <x:v>LA MAGDALENA CONTRERAS</x:v>
      </x:c>
      <x:c r="B435" t="str">
        <x:v>La Magdalena Contreras</x:v>
      </x:c>
      <x:c r="C435" t="str">
        <x:v>Hombre</x:v>
      </x:c>
      <x:c r="D435" t="str">
        <x:v>b) 5 a 9 años</x:v>
      </x:c>
      <x:c r="E435" s="1" t="n">
        <x:v>8218</x:v>
      </x:c>
    </x:row>
    <x:row r="436">
      <x:c r="A436" t="str">
        <x:v>LA MAGDALENA CONTRERAS</x:v>
      </x:c>
      <x:c r="B436" t="str">
        <x:v>La Magdalena Contreras</x:v>
      </x:c>
      <x:c r="C436" t="str">
        <x:v>Hombre</x:v>
      </x:c>
      <x:c r="D436" t="str">
        <x:v>c) 10 a 14 años</x:v>
      </x:c>
      <x:c r="E436" s="1" t="n">
        <x:v>9009</x:v>
      </x:c>
    </x:row>
    <x:row r="437">
      <x:c r="A437" t="str">
        <x:v>LA MAGDALENA CONTRERAS</x:v>
      </x:c>
      <x:c r="B437" t="str">
        <x:v>La Magdalena Contreras</x:v>
      </x:c>
      <x:c r="C437" t="str">
        <x:v>Hombre</x:v>
      </x:c>
      <x:c r="D437" t="str">
        <x:v>d) 15 a 19 años</x:v>
      </x:c>
      <x:c r="E437" s="1" t="n">
        <x:v>9537</x:v>
      </x:c>
    </x:row>
    <x:row r="438">
      <x:c r="A438" t="str">
        <x:v>LA MAGDALENA CONTRERAS</x:v>
      </x:c>
      <x:c r="B438" t="str">
        <x:v>La Magdalena Contreras</x:v>
      </x:c>
      <x:c r="C438" t="str">
        <x:v>Hombre</x:v>
      </x:c>
      <x:c r="D438" t="str">
        <x:v>e) 20 a 24 años</x:v>
      </x:c>
      <x:c r="E438" s="1" t="n">
        <x:v>10012</x:v>
      </x:c>
    </x:row>
    <x:row r="439">
      <x:c r="A439" t="str">
        <x:v>LA MAGDALENA CONTRERAS</x:v>
      </x:c>
      <x:c r="B439" t="str">
        <x:v>La Magdalena Contreras</x:v>
      </x:c>
      <x:c r="C439" t="str">
        <x:v>Hombre</x:v>
      </x:c>
      <x:c r="D439" t="str">
        <x:v>f) 25 a 29 años</x:v>
      </x:c>
      <x:c r="E439" s="1" t="n">
        <x:v>9714</x:v>
      </x:c>
    </x:row>
    <x:row r="440">
      <x:c r="A440" t="str">
        <x:v>LA MAGDALENA CONTRERAS</x:v>
      </x:c>
      <x:c r="B440" t="str">
        <x:v>La Magdalena Contreras</x:v>
      </x:c>
      <x:c r="C440" t="str">
        <x:v>Hombre</x:v>
      </x:c>
      <x:c r="D440" t="str">
        <x:v>g) 30 a 34 años</x:v>
      </x:c>
      <x:c r="E440" s="1" t="n">
        <x:v>8811</x:v>
      </x:c>
    </x:row>
    <x:row r="441">
      <x:c r="A441" t="str">
        <x:v>LA MAGDALENA CONTRERAS</x:v>
      </x:c>
      <x:c r="B441" t="str">
        <x:v>La Magdalena Contreras</x:v>
      </x:c>
      <x:c r="C441" t="str">
        <x:v>Hombre</x:v>
      </x:c>
      <x:c r="D441" t="str">
        <x:v>h) 35 a 39 años</x:v>
      </x:c>
      <x:c r="E441" s="1" t="n">
        <x:v>8441</x:v>
      </x:c>
    </x:row>
    <x:row r="442">
      <x:c r="A442" t="str">
        <x:v>LA MAGDALENA CONTRERAS</x:v>
      </x:c>
      <x:c r="B442" t="str">
        <x:v>La Magdalena Contreras</x:v>
      </x:c>
      <x:c r="C442" t="str">
        <x:v>Hombre</x:v>
      </x:c>
      <x:c r="D442" t="str">
        <x:v>i) 40 a 44 años</x:v>
      </x:c>
      <x:c r="E442" s="1" t="n">
        <x:v>8228</x:v>
      </x:c>
    </x:row>
    <x:row r="443">
      <x:c r="A443" t="str">
        <x:v>LA MAGDALENA CONTRERAS</x:v>
      </x:c>
      <x:c r="B443" t="str">
        <x:v>La Magdalena Contreras</x:v>
      </x:c>
      <x:c r="C443" t="str">
        <x:v>Hombre</x:v>
      </x:c>
      <x:c r="D443" t="str">
        <x:v>j) 45 a 49 años</x:v>
      </x:c>
      <x:c r="E443" s="1" t="n">
        <x:v>8747</x:v>
      </x:c>
    </x:row>
    <x:row r="444">
      <x:c r="A444" t="str">
        <x:v>LA MAGDALENA CONTRERAS</x:v>
      </x:c>
      <x:c r="B444" t="str">
        <x:v>La Magdalena Contreras</x:v>
      </x:c>
      <x:c r="C444" t="str">
        <x:v>Hombre</x:v>
      </x:c>
      <x:c r="D444" t="str">
        <x:v>k) 50 a 54 años</x:v>
      </x:c>
      <x:c r="E444" s="1" t="n">
        <x:v>7877</x:v>
      </x:c>
    </x:row>
    <x:row r="445">
      <x:c r="A445" t="str">
        <x:v>LA MAGDALENA CONTRERAS</x:v>
      </x:c>
      <x:c r="B445" t="str">
        <x:v>La Magdalena Contreras</x:v>
      </x:c>
      <x:c r="C445" t="str">
        <x:v>Hombre</x:v>
      </x:c>
      <x:c r="D445" t="str">
        <x:v>l) 55 a 59 años</x:v>
      </x:c>
      <x:c r="E445" s="1" t="n">
        <x:v>6216</x:v>
      </x:c>
    </x:row>
    <x:row r="446">
      <x:c r="A446" t="str">
        <x:v>LA MAGDALENA CONTRERAS</x:v>
      </x:c>
      <x:c r="B446" t="str">
        <x:v>La Magdalena Contreras</x:v>
      </x:c>
      <x:c r="C446" t="str">
        <x:v>Hombre</x:v>
      </x:c>
      <x:c r="D446" t="str">
        <x:v>m) 60 a 64 años</x:v>
      </x:c>
      <x:c r="E446" s="1" t="n">
        <x:v>5402</x:v>
      </x:c>
    </x:row>
    <x:row r="447">
      <x:c r="A447" t="str">
        <x:v>LA MAGDALENA CONTRERAS</x:v>
      </x:c>
      <x:c r="B447" t="str">
        <x:v>La Magdalena Contreras</x:v>
      </x:c>
      <x:c r="C447" t="str">
        <x:v>Hombre</x:v>
      </x:c>
      <x:c r="D447" t="str">
        <x:v>n) 65 a 69 años</x:v>
      </x:c>
      <x:c r="E447" s="1" t="n">
        <x:v>4019</x:v>
      </x:c>
    </x:row>
    <x:row r="448">
      <x:c r="A448" t="str">
        <x:v>LA MAGDALENA CONTRERAS</x:v>
      </x:c>
      <x:c r="B448" t="str">
        <x:v>La Magdalena Contreras</x:v>
      </x:c>
      <x:c r="C448" t="str">
        <x:v>Hombre</x:v>
      </x:c>
      <x:c r="D448" t="str">
        <x:v>o) 70 a 74 años</x:v>
      </x:c>
      <x:c r="E448" s="1" t="n">
        <x:v>3061</x:v>
      </x:c>
    </x:row>
    <x:row r="449">
      <x:c r="A449" t="str">
        <x:v>LA MAGDALENA CONTRERAS</x:v>
      </x:c>
      <x:c r="B449" t="str">
        <x:v>La Magdalena Contreras</x:v>
      </x:c>
      <x:c r="C449" t="str">
        <x:v>Hombre</x:v>
      </x:c>
      <x:c r="D449" t="str">
        <x:v>p) 75 a 79 años</x:v>
      </x:c>
      <x:c r="E449" s="1" t="n">
        <x:v>1895</x:v>
      </x:c>
    </x:row>
    <x:row r="450">
      <x:c r="A450" t="str">
        <x:v>LA MAGDALENA CONTRERAS</x:v>
      </x:c>
      <x:c r="B450" t="str">
        <x:v>La Magdalena Contreras</x:v>
      </x:c>
      <x:c r="C450" t="str">
        <x:v>Hombre</x:v>
      </x:c>
      <x:c r="D450" t="str">
        <x:v>q) 80 a 84 años</x:v>
      </x:c>
      <x:c r="E450" s="1" t="n">
        <x:v>1095</x:v>
      </x:c>
    </x:row>
    <x:row r="451">
      <x:c r="A451" t="str">
        <x:v>LA MAGDALENA CONTRERAS</x:v>
      </x:c>
      <x:c r="B451" t="str">
        <x:v>La Magdalena Contreras</x:v>
      </x:c>
      <x:c r="C451" t="str">
        <x:v>Hombre</x:v>
      </x:c>
      <x:c r="D451" t="str">
        <x:v>r) 85 años y más</x:v>
      </x:c>
      <x:c r="E451" s="1" t="n">
        <x:v>899</x:v>
      </x:c>
    </x:row>
    <x:row r="452">
      <x:c r="A452" t="str">
        <x:v>LA MAGDALENA CONTRERAS</x:v>
      </x:c>
      <x:c r="B452" t="str">
        <x:v>La Magdalena Contreras</x:v>
      </x:c>
      <x:c r="C452" t="str">
        <x:v>Mujer</x:v>
      </x:c>
      <x:c r="D452" t="str">
        <x:v>a) 0 a 4 años</x:v>
      </x:c>
      <x:c r="E452" s="1" t="n">
        <x:v>6461</x:v>
      </x:c>
    </x:row>
    <x:row r="453">
      <x:c r="A453" t="str">
        <x:v>LA MAGDALENA CONTRERAS</x:v>
      </x:c>
      <x:c r="B453" t="str">
        <x:v>La Magdalena Contreras</x:v>
      </x:c>
      <x:c r="C453" t="str">
        <x:v>Mujer</x:v>
      </x:c>
      <x:c r="D453" t="str">
        <x:v>b) 5 a 9 años</x:v>
      </x:c>
      <x:c r="E453" s="1" t="n">
        <x:v>7944</x:v>
      </x:c>
    </x:row>
    <x:row r="454">
      <x:c r="A454" t="str">
        <x:v>LA MAGDALENA CONTRERAS</x:v>
      </x:c>
      <x:c r="B454" t="str">
        <x:v>La Magdalena Contreras</x:v>
      </x:c>
      <x:c r="C454" t="str">
        <x:v>Mujer</x:v>
      </x:c>
      <x:c r="D454" t="str">
        <x:v>c) 10 a 14 años</x:v>
      </x:c>
      <x:c r="E454" s="1" t="n">
        <x:v>8975</x:v>
      </x:c>
    </x:row>
    <x:row r="455">
      <x:c r="A455" t="str">
        <x:v>LA MAGDALENA CONTRERAS</x:v>
      </x:c>
      <x:c r="B455" t="str">
        <x:v>La Magdalena Contreras</x:v>
      </x:c>
      <x:c r="C455" t="str">
        <x:v>Mujer</x:v>
      </x:c>
      <x:c r="D455" t="str">
        <x:v>d) 15 a 19 años</x:v>
      </x:c>
      <x:c r="E455" s="1" t="n">
        <x:v>9261</x:v>
      </x:c>
    </x:row>
    <x:row r="456">
      <x:c r="A456" t="str">
        <x:v>LA MAGDALENA CONTRERAS</x:v>
      </x:c>
      <x:c r="B456" t="str">
        <x:v>La Magdalena Contreras</x:v>
      </x:c>
      <x:c r="C456" t="str">
        <x:v>Mujer</x:v>
      </x:c>
      <x:c r="D456" t="str">
        <x:v>e) 20 a 24 años</x:v>
      </x:c>
      <x:c r="E456" s="1" t="n">
        <x:v>9847</x:v>
      </x:c>
    </x:row>
    <x:row r="457">
      <x:c r="A457" t="str">
        <x:v>LA MAGDALENA CONTRERAS</x:v>
      </x:c>
      <x:c r="B457" t="str">
        <x:v>La Magdalena Contreras</x:v>
      </x:c>
      <x:c r="C457" t="str">
        <x:v>Mujer</x:v>
      </x:c>
      <x:c r="D457" t="str">
        <x:v>f) 25 a 29 años</x:v>
      </x:c>
      <x:c r="E457" s="1" t="n">
        <x:v>10011</x:v>
      </x:c>
    </x:row>
    <x:row r="458">
      <x:c r="A458" t="str">
        <x:v>LA MAGDALENA CONTRERAS</x:v>
      </x:c>
      <x:c r="B458" t="str">
        <x:v>La Magdalena Contreras</x:v>
      </x:c>
      <x:c r="C458" t="str">
        <x:v>Mujer</x:v>
      </x:c>
      <x:c r="D458" t="str">
        <x:v>g) 30 a 34 años</x:v>
      </x:c>
      <x:c r="E458" s="1" t="n">
        <x:v>9250</x:v>
      </x:c>
    </x:row>
    <x:row r="459">
      <x:c r="A459" t="str">
        <x:v>LA MAGDALENA CONTRERAS</x:v>
      </x:c>
      <x:c r="B459" t="str">
        <x:v>La Magdalena Contreras</x:v>
      </x:c>
      <x:c r="C459" t="str">
        <x:v>Mujer</x:v>
      </x:c>
      <x:c r="D459" t="str">
        <x:v>h) 35 a 39 años</x:v>
      </x:c>
      <x:c r="E459" s="1" t="n">
        <x:v>9153</x:v>
      </x:c>
    </x:row>
    <x:row r="460">
      <x:c r="A460" t="str">
        <x:v>LA MAGDALENA CONTRERAS</x:v>
      </x:c>
      <x:c r="B460" t="str">
        <x:v>La Magdalena Contreras</x:v>
      </x:c>
      <x:c r="C460" t="str">
        <x:v>Mujer</x:v>
      </x:c>
      <x:c r="D460" t="str">
        <x:v>i) 40 a 44 años</x:v>
      </x:c>
      <x:c r="E460" s="1" t="n">
        <x:v>9499</x:v>
      </x:c>
    </x:row>
    <x:row r="461">
      <x:c r="A461" t="str">
        <x:v>LA MAGDALENA CONTRERAS</x:v>
      </x:c>
      <x:c r="B461" t="str">
        <x:v>La Magdalena Contreras</x:v>
      </x:c>
      <x:c r="C461" t="str">
        <x:v>Mujer</x:v>
      </x:c>
      <x:c r="D461" t="str">
        <x:v>j) 45 a 49 años</x:v>
      </x:c>
      <x:c r="E461" s="1" t="n">
        <x:v>9989</x:v>
      </x:c>
    </x:row>
    <x:row r="462">
      <x:c r="A462" t="str">
        <x:v>LA MAGDALENA CONTRERAS</x:v>
      </x:c>
      <x:c r="B462" t="str">
        <x:v>La Magdalena Contreras</x:v>
      </x:c>
      <x:c r="C462" t="str">
        <x:v>Mujer</x:v>
      </x:c>
      <x:c r="D462" t="str">
        <x:v>k) 50 a 54 años</x:v>
      </x:c>
      <x:c r="E462" s="1" t="n">
        <x:v>9276</x:v>
      </x:c>
    </x:row>
    <x:row r="463">
      <x:c r="A463" t="str">
        <x:v>LA MAGDALENA CONTRERAS</x:v>
      </x:c>
      <x:c r="B463" t="str">
        <x:v>La Magdalena Contreras</x:v>
      </x:c>
      <x:c r="C463" t="str">
        <x:v>Mujer</x:v>
      </x:c>
      <x:c r="D463" t="str">
        <x:v>l) 55 a 59 años</x:v>
      </x:c>
      <x:c r="E463" s="1" t="n">
        <x:v>7469</x:v>
      </x:c>
    </x:row>
    <x:row r="464">
      <x:c r="A464" t="str">
        <x:v>LA MAGDALENA CONTRERAS</x:v>
      </x:c>
      <x:c r="B464" t="str">
        <x:v>La Magdalena Contreras</x:v>
      </x:c>
      <x:c r="C464" t="str">
        <x:v>Mujer</x:v>
      </x:c>
      <x:c r="D464" t="str">
        <x:v>m) 60 a 64 años</x:v>
      </x:c>
      <x:c r="E464" s="1" t="n">
        <x:v>6571</x:v>
      </x:c>
    </x:row>
    <x:row r="465">
      <x:c r="A465" t="str">
        <x:v>LA MAGDALENA CONTRERAS</x:v>
      </x:c>
      <x:c r="B465" t="str">
        <x:v>La Magdalena Contreras</x:v>
      </x:c>
      <x:c r="C465" t="str">
        <x:v>Mujer</x:v>
      </x:c>
      <x:c r="D465" t="str">
        <x:v>n) 65 a 69 años</x:v>
      </x:c>
      <x:c r="E465" s="1" t="n">
        <x:v>5202</x:v>
      </x:c>
    </x:row>
    <x:row r="466">
      <x:c r="A466" t="str">
        <x:v>LA MAGDALENA CONTRERAS</x:v>
      </x:c>
      <x:c r="B466" t="str">
        <x:v>La Magdalena Contreras</x:v>
      </x:c>
      <x:c r="C466" t="str">
        <x:v>Mujer</x:v>
      </x:c>
      <x:c r="D466" t="str">
        <x:v>o) 70 a 74 años</x:v>
      </x:c>
      <x:c r="E466" s="1" t="n">
        <x:v>3768</x:v>
      </x:c>
    </x:row>
    <x:row r="467">
      <x:c r="A467" t="str">
        <x:v>LA MAGDALENA CONTRERAS</x:v>
      </x:c>
      <x:c r="B467" t="str">
        <x:v>La Magdalena Contreras</x:v>
      </x:c>
      <x:c r="C467" t="str">
        <x:v>Mujer</x:v>
      </x:c>
      <x:c r="D467" t="str">
        <x:v>p) 75 a 79 años</x:v>
      </x:c>
      <x:c r="E467" s="1" t="n">
        <x:v>2579</x:v>
      </x:c>
    </x:row>
    <x:row r="468">
      <x:c r="A468" t="str">
        <x:v>LA MAGDALENA CONTRERAS</x:v>
      </x:c>
      <x:c r="B468" t="str">
        <x:v>La Magdalena Contreras</x:v>
      </x:c>
      <x:c r="C468" t="str">
        <x:v>Mujer</x:v>
      </x:c>
      <x:c r="D468" t="str">
        <x:v>q) 80 a 84 años</x:v>
      </x:c>
      <x:c r="E468" s="1" t="n">
        <x:v>1732</x:v>
      </x:c>
    </x:row>
    <x:row r="469">
      <x:c r="A469" t="str">
        <x:v>LA MAGDALENA CONTRERAS</x:v>
      </x:c>
      <x:c r="B469" t="str">
        <x:v>La Magdalena Contreras</x:v>
      </x:c>
      <x:c r="C469" t="str">
        <x:v>Mujer</x:v>
      </x:c>
      <x:c r="D469" t="str">
        <x:v>r) 85 años y más</x:v>
      </x:c>
      <x:c r="E469" s="1" t="n">
        <x:v>1756</x:v>
      </x:c>
    </x:row>
    <x:row r="470">
      <x:c r="A470" t="str">
        <x:v>MILPA ALTA</x:v>
      </x:c>
      <x:c r="B470" t="str">
        <x:v>Villa Milpa Alta</x:v>
      </x:c>
      <x:c r="C470" t="str">
        <x:v>Hombre</x:v>
      </x:c>
      <x:c r="D470" t="str">
        <x:v>a) 0 a 4 años</x:v>
      </x:c>
      <x:c r="E470" s="1" t="n">
        <x:v>577</x:v>
      </x:c>
    </x:row>
    <x:row r="471">
      <x:c r="A471" t="str">
        <x:v>MILPA ALTA</x:v>
      </x:c>
      <x:c r="B471" t="str">
        <x:v>Villa Milpa Alta</x:v>
      </x:c>
      <x:c r="C471" t="str">
        <x:v>Hombre</x:v>
      </x:c>
      <x:c r="D471" t="str">
        <x:v>b) 5 a 9 años</x:v>
      </x:c>
      <x:c r="E471" s="1" t="n">
        <x:v>713</x:v>
      </x:c>
    </x:row>
    <x:row r="472">
      <x:c r="A472" t="str">
        <x:v>MILPA ALTA</x:v>
      </x:c>
      <x:c r="B472" t="str">
        <x:v>Villa Milpa Alta</x:v>
      </x:c>
      <x:c r="C472" t="str">
        <x:v>Hombre</x:v>
      </x:c>
      <x:c r="D472" t="str">
        <x:v>c) 10 a 14 años</x:v>
      </x:c>
      <x:c r="E472" s="1" t="n">
        <x:v>693</x:v>
      </x:c>
    </x:row>
    <x:row r="473">
      <x:c r="A473" t="str">
        <x:v>MILPA ALTA</x:v>
      </x:c>
      <x:c r="B473" t="str">
        <x:v>Villa Milpa Alta</x:v>
      </x:c>
      <x:c r="C473" t="str">
        <x:v>Hombre</x:v>
      </x:c>
      <x:c r="D473" t="str">
        <x:v>d) 15 a 19 años</x:v>
      </x:c>
      <x:c r="E473" s="1" t="n">
        <x:v>789</x:v>
      </x:c>
    </x:row>
    <x:row r="474">
      <x:c r="A474" t="str">
        <x:v>MILPA ALTA</x:v>
      </x:c>
      <x:c r="B474" t="str">
        <x:v>Villa Milpa Alta</x:v>
      </x:c>
      <x:c r="C474" t="str">
        <x:v>Hombre</x:v>
      </x:c>
      <x:c r="D474" t="str">
        <x:v>e) 20 a 24 años</x:v>
      </x:c>
      <x:c r="E474" s="1" t="n">
        <x:v>757</x:v>
      </x:c>
    </x:row>
    <x:row r="475">
      <x:c r="A475" t="str">
        <x:v>MILPA ALTA</x:v>
      </x:c>
      <x:c r="B475" t="str">
        <x:v>Villa Milpa Alta</x:v>
      </x:c>
      <x:c r="C475" t="str">
        <x:v>Hombre</x:v>
      </x:c>
      <x:c r="D475" t="str">
        <x:v>f) 25 a 29 años</x:v>
      </x:c>
      <x:c r="E475" s="1" t="n">
        <x:v>708</x:v>
      </x:c>
    </x:row>
    <x:row r="476">
      <x:c r="A476" t="str">
        <x:v>MILPA ALTA</x:v>
      </x:c>
      <x:c r="B476" t="str">
        <x:v>Villa Milpa Alta</x:v>
      </x:c>
      <x:c r="C476" t="str">
        <x:v>Hombre</x:v>
      </x:c>
      <x:c r="D476" t="str">
        <x:v>g) 30 a 34 años</x:v>
      </x:c>
      <x:c r="E476" s="1" t="n">
        <x:v>657</x:v>
      </x:c>
    </x:row>
    <x:row r="477">
      <x:c r="A477" t="str">
        <x:v>MILPA ALTA</x:v>
      </x:c>
      <x:c r="B477" t="str">
        <x:v>Villa Milpa Alta</x:v>
      </x:c>
      <x:c r="C477" t="str">
        <x:v>Hombre</x:v>
      </x:c>
      <x:c r="D477" t="str">
        <x:v>h) 35 a 39 años</x:v>
      </x:c>
      <x:c r="E477" s="1" t="n">
        <x:v>640</x:v>
      </x:c>
    </x:row>
    <x:row r="478">
      <x:c r="A478" t="str">
        <x:v>MILPA ALTA</x:v>
      </x:c>
      <x:c r="B478" t="str">
        <x:v>Villa Milpa Alta</x:v>
      </x:c>
      <x:c r="C478" t="str">
        <x:v>Hombre</x:v>
      </x:c>
      <x:c r="D478" t="str">
        <x:v>i) 40 a 44 años</x:v>
      </x:c>
      <x:c r="E478" s="1" t="n">
        <x:v>625</x:v>
      </x:c>
    </x:row>
    <x:row r="479">
      <x:c r="A479" t="str">
        <x:v>MILPA ALTA</x:v>
      </x:c>
      <x:c r="B479" t="str">
        <x:v>Villa Milpa Alta</x:v>
      </x:c>
      <x:c r="C479" t="str">
        <x:v>Hombre</x:v>
      </x:c>
      <x:c r="D479" t="str">
        <x:v>j) 45 a 49 años</x:v>
      </x:c>
      <x:c r="E479" s="1" t="n">
        <x:v>556</x:v>
      </x:c>
    </x:row>
    <x:row r="480">
      <x:c r="A480" t="str">
        <x:v>MILPA ALTA</x:v>
      </x:c>
      <x:c r="B480" t="str">
        <x:v>Villa Milpa Alta</x:v>
      </x:c>
      <x:c r="C480" t="str">
        <x:v>Hombre</x:v>
      </x:c>
      <x:c r="D480" t="str">
        <x:v>k) 50 a 54 años</x:v>
      </x:c>
      <x:c r="E480" s="1" t="n">
        <x:v>517</x:v>
      </x:c>
    </x:row>
    <x:row r="481">
      <x:c r="A481" t="str">
        <x:v>MILPA ALTA</x:v>
      </x:c>
      <x:c r="B481" t="str">
        <x:v>Villa Milpa Alta</x:v>
      </x:c>
      <x:c r="C481" t="str">
        <x:v>Hombre</x:v>
      </x:c>
      <x:c r="D481" t="str">
        <x:v>l) 55 a 59 años</x:v>
      </x:c>
      <x:c r="E481" s="1" t="n">
        <x:v>453</x:v>
      </x:c>
    </x:row>
    <x:row r="482">
      <x:c r="A482" t="str">
        <x:v>MILPA ALTA</x:v>
      </x:c>
      <x:c r="B482" t="str">
        <x:v>Villa Milpa Alta</x:v>
      </x:c>
      <x:c r="C482" t="str">
        <x:v>Hombre</x:v>
      </x:c>
      <x:c r="D482" t="str">
        <x:v>m) 60 a 64 años</x:v>
      </x:c>
      <x:c r="E482" s="1" t="n">
        <x:v>369</x:v>
      </x:c>
    </x:row>
    <x:row r="483">
      <x:c r="A483" t="str">
        <x:v>MILPA ALTA</x:v>
      </x:c>
      <x:c r="B483" t="str">
        <x:v>Villa Milpa Alta</x:v>
      </x:c>
      <x:c r="C483" t="str">
        <x:v>Hombre</x:v>
      </x:c>
      <x:c r="D483" t="str">
        <x:v>n) 65 a 69 años</x:v>
      </x:c>
      <x:c r="E483" s="1" t="n">
        <x:v>276</x:v>
      </x:c>
    </x:row>
    <x:row r="484">
      <x:c r="A484" t="str">
        <x:v>MILPA ALTA</x:v>
      </x:c>
      <x:c r="B484" t="str">
        <x:v>Villa Milpa Alta</x:v>
      </x:c>
      <x:c r="C484" t="str">
        <x:v>Hombre</x:v>
      </x:c>
      <x:c r="D484" t="str">
        <x:v>o) 70 a 74 años</x:v>
      </x:c>
      <x:c r="E484" s="1" t="n">
        <x:v>220</x:v>
      </x:c>
    </x:row>
    <x:row r="485">
      <x:c r="A485" t="str">
        <x:v>MILPA ALTA</x:v>
      </x:c>
      <x:c r="B485" t="str">
        <x:v>Villa Milpa Alta</x:v>
      </x:c>
      <x:c r="C485" t="str">
        <x:v>Hombre</x:v>
      </x:c>
      <x:c r="D485" t="str">
        <x:v>p) 75 a 79 años</x:v>
      </x:c>
      <x:c r="E485" s="1" t="n">
        <x:v>142</x:v>
      </x:c>
    </x:row>
    <x:row r="486">
      <x:c r="A486" t="str">
        <x:v>MILPA ALTA</x:v>
      </x:c>
      <x:c r="B486" t="str">
        <x:v>Villa Milpa Alta</x:v>
      </x:c>
      <x:c r="C486" t="str">
        <x:v>Hombre</x:v>
      </x:c>
      <x:c r="D486" t="str">
        <x:v>q) 80 a 84 años</x:v>
      </x:c>
      <x:c r="E486" s="1" t="n">
        <x:v>85</x:v>
      </x:c>
    </x:row>
    <x:row r="487">
      <x:c r="A487" t="str">
        <x:v>MILPA ALTA</x:v>
      </x:c>
      <x:c r="B487" t="str">
        <x:v>Villa Milpa Alta</x:v>
      </x:c>
      <x:c r="C487" t="str">
        <x:v>Hombre</x:v>
      </x:c>
      <x:c r="D487" t="str">
        <x:v>r) 85 años y más</x:v>
      </x:c>
      <x:c r="E487" s="1" t="n">
        <x:v>86</x:v>
      </x:c>
    </x:row>
    <x:row r="488">
      <x:c r="A488" t="str">
        <x:v>MILPA ALTA</x:v>
      </x:c>
      <x:c r="B488" t="str">
        <x:v>Villa Milpa Alta</x:v>
      </x:c>
      <x:c r="C488" t="str">
        <x:v>Mujer</x:v>
      </x:c>
      <x:c r="D488" t="str">
        <x:v>a) 0 a 4 años</x:v>
      </x:c>
      <x:c r="E488" s="1" t="n">
        <x:v>535</x:v>
      </x:c>
    </x:row>
    <x:row r="489">
      <x:c r="A489" t="str">
        <x:v>MILPA ALTA</x:v>
      </x:c>
      <x:c r="B489" t="str">
        <x:v>Villa Milpa Alta</x:v>
      </x:c>
      <x:c r="C489" t="str">
        <x:v>Mujer</x:v>
      </x:c>
      <x:c r="D489" t="str">
        <x:v>b) 5 a 9 años</x:v>
      </x:c>
      <x:c r="E489" s="1" t="n">
        <x:v>648</x:v>
      </x:c>
    </x:row>
    <x:row r="490">
      <x:c r="A490" t="str">
        <x:v>MILPA ALTA</x:v>
      </x:c>
      <x:c r="B490" t="str">
        <x:v>Villa Milpa Alta</x:v>
      </x:c>
      <x:c r="C490" t="str">
        <x:v>Mujer</x:v>
      </x:c>
      <x:c r="D490" t="str">
        <x:v>c) 10 a 14 años</x:v>
      </x:c>
      <x:c r="E490" s="1" t="n">
        <x:v>709</x:v>
      </x:c>
    </x:row>
    <x:row r="491">
      <x:c r="A491" t="str">
        <x:v>MILPA ALTA</x:v>
      </x:c>
      <x:c r="B491" t="str">
        <x:v>Villa Milpa Alta</x:v>
      </x:c>
      <x:c r="C491" t="str">
        <x:v>Mujer</x:v>
      </x:c>
      <x:c r="D491" t="str">
        <x:v>d) 15 a 19 años</x:v>
      </x:c>
      <x:c r="E491" s="1" t="n">
        <x:v>679</x:v>
      </x:c>
    </x:row>
    <x:row r="492">
      <x:c r="A492" t="str">
        <x:v>MILPA ALTA</x:v>
      </x:c>
      <x:c r="B492" t="str">
        <x:v>Villa Milpa Alta</x:v>
      </x:c>
      <x:c r="C492" t="str">
        <x:v>Mujer</x:v>
      </x:c>
      <x:c r="D492" t="str">
        <x:v>e) 20 a 24 años</x:v>
      </x:c>
      <x:c r="E492" s="1" t="n">
        <x:v>773</x:v>
      </x:c>
    </x:row>
    <x:row r="493">
      <x:c r="A493" t="str">
        <x:v>MILPA ALTA</x:v>
      </x:c>
      <x:c r="B493" t="str">
        <x:v>Villa Milpa Alta</x:v>
      </x:c>
      <x:c r="C493" t="str">
        <x:v>Mujer</x:v>
      </x:c>
      <x:c r="D493" t="str">
        <x:v>f) 25 a 29 años</x:v>
      </x:c>
      <x:c r="E493" s="1" t="n">
        <x:v>755</x:v>
      </x:c>
    </x:row>
    <x:row r="494">
      <x:c r="A494" t="str">
        <x:v>MILPA ALTA</x:v>
      </x:c>
      <x:c r="B494" t="str">
        <x:v>Villa Milpa Alta</x:v>
      </x:c>
      <x:c r="C494" t="str">
        <x:v>Mujer</x:v>
      </x:c>
      <x:c r="D494" t="str">
        <x:v>g) 30 a 34 años</x:v>
      </x:c>
      <x:c r="E494" s="1" t="n">
        <x:v>711</x:v>
      </x:c>
    </x:row>
    <x:row r="495">
      <x:c r="A495" t="str">
        <x:v>MILPA ALTA</x:v>
      </x:c>
      <x:c r="B495" t="str">
        <x:v>Villa Milpa Alta</x:v>
      </x:c>
      <x:c r="C495" t="str">
        <x:v>Mujer</x:v>
      </x:c>
      <x:c r="D495" t="str">
        <x:v>h) 35 a 39 años</x:v>
      </x:c>
      <x:c r="E495" s="1" t="n">
        <x:v>697</x:v>
      </x:c>
    </x:row>
    <x:row r="496">
      <x:c r="A496" t="str">
        <x:v>MILPA ALTA</x:v>
      </x:c>
      <x:c r="B496" t="str">
        <x:v>Villa Milpa Alta</x:v>
      </x:c>
      <x:c r="C496" t="str">
        <x:v>Mujer</x:v>
      </x:c>
      <x:c r="D496" t="str">
        <x:v>i) 40 a 44 años</x:v>
      </x:c>
      <x:c r="E496" s="1" t="n">
        <x:v>704</x:v>
      </x:c>
    </x:row>
    <x:row r="497">
      <x:c r="A497" t="str">
        <x:v>MILPA ALTA</x:v>
      </x:c>
      <x:c r="B497" t="str">
        <x:v>Villa Milpa Alta</x:v>
      </x:c>
      <x:c r="C497" t="str">
        <x:v>Mujer</x:v>
      </x:c>
      <x:c r="D497" t="str">
        <x:v>j) 45 a 49 años</x:v>
      </x:c>
      <x:c r="E497" s="1" t="n">
        <x:v>634</x:v>
      </x:c>
    </x:row>
    <x:row r="498">
      <x:c r="A498" t="str">
        <x:v>MILPA ALTA</x:v>
      </x:c>
      <x:c r="B498" t="str">
        <x:v>Villa Milpa Alta</x:v>
      </x:c>
      <x:c r="C498" t="str">
        <x:v>Mujer</x:v>
      </x:c>
      <x:c r="D498" t="str">
        <x:v>k) 50 a 54 años</x:v>
      </x:c>
      <x:c r="E498" s="1" t="n">
        <x:v>625</x:v>
      </x:c>
    </x:row>
    <x:row r="499">
      <x:c r="A499" t="str">
        <x:v>MILPA ALTA</x:v>
      </x:c>
      <x:c r="B499" t="str">
        <x:v>Villa Milpa Alta</x:v>
      </x:c>
      <x:c r="C499" t="str">
        <x:v>Mujer</x:v>
      </x:c>
      <x:c r="D499" t="str">
        <x:v>l) 55 a 59 años</x:v>
      </x:c>
      <x:c r="E499" s="1" t="n">
        <x:v>475</x:v>
      </x:c>
    </x:row>
    <x:row r="500">
      <x:c r="A500" t="str">
        <x:v>MILPA ALTA</x:v>
      </x:c>
      <x:c r="B500" t="str">
        <x:v>Villa Milpa Alta</x:v>
      </x:c>
      <x:c r="C500" t="str">
        <x:v>Mujer</x:v>
      </x:c>
      <x:c r="D500" t="str">
        <x:v>m) 60 a 64 años</x:v>
      </x:c>
      <x:c r="E500" s="1" t="n">
        <x:v>410</x:v>
      </x:c>
    </x:row>
    <x:row r="501">
      <x:c r="A501" t="str">
        <x:v>MILPA ALTA</x:v>
      </x:c>
      <x:c r="B501" t="str">
        <x:v>Villa Milpa Alta</x:v>
      </x:c>
      <x:c r="C501" t="str">
        <x:v>Mujer</x:v>
      </x:c>
      <x:c r="D501" t="str">
        <x:v>n) 65 a 69 años</x:v>
      </x:c>
      <x:c r="E501" s="1" t="n">
        <x:v>353</x:v>
      </x:c>
    </x:row>
    <x:row r="502">
      <x:c r="A502" t="str">
        <x:v>MILPA ALTA</x:v>
      </x:c>
      <x:c r="B502" t="str">
        <x:v>Villa Milpa Alta</x:v>
      </x:c>
      <x:c r="C502" t="str">
        <x:v>Mujer</x:v>
      </x:c>
      <x:c r="D502" t="str">
        <x:v>o) 70 a 74 años</x:v>
      </x:c>
      <x:c r="E502" s="1" t="n">
        <x:v>246</x:v>
      </x:c>
    </x:row>
    <x:row r="503">
      <x:c r="A503" t="str">
        <x:v>MILPA ALTA</x:v>
      </x:c>
      <x:c r="B503" t="str">
        <x:v>Villa Milpa Alta</x:v>
      </x:c>
      <x:c r="C503" t="str">
        <x:v>Mujer</x:v>
      </x:c>
      <x:c r="D503" t="str">
        <x:v>p) 75 a 79 años</x:v>
      </x:c>
      <x:c r="E503" s="1" t="n">
        <x:v>162</x:v>
      </x:c>
    </x:row>
    <x:row r="504">
      <x:c r="A504" t="str">
        <x:v>MILPA ALTA</x:v>
      </x:c>
      <x:c r="B504" t="str">
        <x:v>Villa Milpa Alta</x:v>
      </x:c>
      <x:c r="C504" t="str">
        <x:v>Mujer</x:v>
      </x:c>
      <x:c r="D504" t="str">
        <x:v>q) 80 a 84 años</x:v>
      </x:c>
      <x:c r="E504" s="1" t="n">
        <x:v>120</x:v>
      </x:c>
    </x:row>
    <x:row r="505">
      <x:c r="A505" t="str">
        <x:v>MILPA ALTA</x:v>
      </x:c>
      <x:c r="B505" t="str">
        <x:v>Villa Milpa Alta</x:v>
      </x:c>
      <x:c r="C505" t="str">
        <x:v>Mujer</x:v>
      </x:c>
      <x:c r="D505" t="str">
        <x:v>r) 85 años y más</x:v>
      </x:c>
      <x:c r="E505" s="1" t="n">
        <x:v>114</x:v>
      </x:c>
    </x:row>
    <x:row r="506">
      <x:c r="A506" t="str">
        <x:v>MILPA ALTA</x:v>
      </x:c>
      <x:c r="B506" t="str">
        <x:v>San Antonio Tecómitl</x:v>
      </x:c>
      <x:c r="C506" t="str">
        <x:v>Hombre</x:v>
      </x:c>
      <x:c r="D506" t="str">
        <x:v>a) 0 a 4 años</x:v>
      </x:c>
      <x:c r="E506" s="1" t="n">
        <x:v>911</x:v>
      </x:c>
    </x:row>
    <x:row r="507">
      <x:c r="A507" t="str">
        <x:v>MILPA ALTA</x:v>
      </x:c>
      <x:c r="B507" t="str">
        <x:v>San Antonio Tecómitl</x:v>
      </x:c>
      <x:c r="C507" t="str">
        <x:v>Hombre</x:v>
      </x:c>
      <x:c r="D507" t="str">
        <x:v>b) 5 a 9 años</x:v>
      </x:c>
      <x:c r="E507" s="1" t="n">
        <x:v>1125</x:v>
      </x:c>
    </x:row>
    <x:row r="508">
      <x:c r="A508" t="str">
        <x:v>MILPA ALTA</x:v>
      </x:c>
      <x:c r="B508" t="str">
        <x:v>San Antonio Tecómitl</x:v>
      </x:c>
      <x:c r="C508" t="str">
        <x:v>Hombre</x:v>
      </x:c>
      <x:c r="D508" t="str">
        <x:v>c) 10 a 14 años</x:v>
      </x:c>
      <x:c r="E508" s="1" t="n">
        <x:v>1144</x:v>
      </x:c>
    </x:row>
    <x:row r="509">
      <x:c r="A509" t="str">
        <x:v>MILPA ALTA</x:v>
      </x:c>
      <x:c r="B509" t="str">
        <x:v>San Antonio Tecómitl</x:v>
      </x:c>
      <x:c r="C509" t="str">
        <x:v>Hombre</x:v>
      </x:c>
      <x:c r="D509" t="str">
        <x:v>d) 15 a 19 años</x:v>
      </x:c>
      <x:c r="E509" s="1" t="n">
        <x:v>1242</x:v>
      </x:c>
    </x:row>
    <x:row r="510">
      <x:c r="A510" t="str">
        <x:v>MILPA ALTA</x:v>
      </x:c>
      <x:c r="B510" t="str">
        <x:v>San Antonio Tecómitl</x:v>
      </x:c>
      <x:c r="C510" t="str">
        <x:v>Hombre</x:v>
      </x:c>
      <x:c r="D510" t="str">
        <x:v>e) 20 a 24 años</x:v>
      </x:c>
      <x:c r="E510" s="1" t="n">
        <x:v>1250</x:v>
      </x:c>
    </x:row>
    <x:row r="511">
      <x:c r="A511" t="str">
        <x:v>MILPA ALTA</x:v>
      </x:c>
      <x:c r="B511" t="str">
        <x:v>San Antonio Tecómitl</x:v>
      </x:c>
      <x:c r="C511" t="str">
        <x:v>Hombre</x:v>
      </x:c>
      <x:c r="D511" t="str">
        <x:v>f) 25 a 29 años</x:v>
      </x:c>
      <x:c r="E511" s="1" t="n">
        <x:v>1111</x:v>
      </x:c>
    </x:row>
    <x:row r="512">
      <x:c r="A512" t="str">
        <x:v>MILPA ALTA</x:v>
      </x:c>
      <x:c r="B512" t="str">
        <x:v>San Antonio Tecómitl</x:v>
      </x:c>
      <x:c r="C512" t="str">
        <x:v>Hombre</x:v>
      </x:c>
      <x:c r="D512" t="str">
        <x:v>g) 30 a 34 años</x:v>
      </x:c>
      <x:c r="E512" s="1" t="n">
        <x:v>1040</x:v>
      </x:c>
    </x:row>
    <x:row r="513">
      <x:c r="A513" t="str">
        <x:v>MILPA ALTA</x:v>
      </x:c>
      <x:c r="B513" t="str">
        <x:v>San Antonio Tecómitl</x:v>
      </x:c>
      <x:c r="C513" t="str">
        <x:v>Hombre</x:v>
      </x:c>
      <x:c r="D513" t="str">
        <x:v>h) 35 a 39 años</x:v>
      </x:c>
      <x:c r="E513" s="1" t="n">
        <x:v>933</x:v>
      </x:c>
    </x:row>
    <x:row r="514">
      <x:c r="A514" t="str">
        <x:v>MILPA ALTA</x:v>
      </x:c>
      <x:c r="B514" t="str">
        <x:v>San Antonio Tecómitl</x:v>
      </x:c>
      <x:c r="C514" t="str">
        <x:v>Hombre</x:v>
      </x:c>
      <x:c r="D514" t="str">
        <x:v>i) 40 a 44 años</x:v>
      </x:c>
      <x:c r="E514" s="1" t="n">
        <x:v>897</x:v>
      </x:c>
    </x:row>
    <x:row r="515">
      <x:c r="A515" t="str">
        <x:v>MILPA ALTA</x:v>
      </x:c>
      <x:c r="B515" t="str">
        <x:v>San Antonio Tecómitl</x:v>
      </x:c>
      <x:c r="C515" t="str">
        <x:v>Hombre</x:v>
      </x:c>
      <x:c r="D515" t="str">
        <x:v>j) 45 a 49 años</x:v>
      </x:c>
      <x:c r="E515" s="1" t="n">
        <x:v>896</x:v>
      </x:c>
    </x:row>
    <x:row r="516">
      <x:c r="A516" t="str">
        <x:v>MILPA ALTA</x:v>
      </x:c>
      <x:c r="B516" t="str">
        <x:v>San Antonio Tecómitl</x:v>
      </x:c>
      <x:c r="C516" t="str">
        <x:v>Hombre</x:v>
      </x:c>
      <x:c r="D516" t="str">
        <x:v>k) 50 a 54 años</x:v>
      </x:c>
      <x:c r="E516" s="1" t="n">
        <x:v>860</x:v>
      </x:c>
    </x:row>
    <x:row r="517">
      <x:c r="A517" t="str">
        <x:v>MILPA ALTA</x:v>
      </x:c>
      <x:c r="B517" t="str">
        <x:v>San Antonio Tecómitl</x:v>
      </x:c>
      <x:c r="C517" t="str">
        <x:v>Hombre</x:v>
      </x:c>
      <x:c r="D517" t="str">
        <x:v>l) 55 a 59 años</x:v>
      </x:c>
      <x:c r="E517" s="1" t="n">
        <x:v>648</x:v>
      </x:c>
    </x:row>
    <x:row r="518">
      <x:c r="A518" t="str">
        <x:v>MILPA ALTA</x:v>
      </x:c>
      <x:c r="B518" t="str">
        <x:v>San Antonio Tecómitl</x:v>
      </x:c>
      <x:c r="C518" t="str">
        <x:v>Hombre</x:v>
      </x:c>
      <x:c r="D518" t="str">
        <x:v>m) 60 a 64 años</x:v>
      </x:c>
      <x:c r="E518" s="1" t="n">
        <x:v>505</x:v>
      </x:c>
    </x:row>
    <x:row r="519">
      <x:c r="A519" t="str">
        <x:v>MILPA ALTA</x:v>
      </x:c>
      <x:c r="B519" t="str">
        <x:v>San Antonio Tecómitl</x:v>
      </x:c>
      <x:c r="C519" t="str">
        <x:v>Hombre</x:v>
      </x:c>
      <x:c r="D519" t="str">
        <x:v>n) 65 a 69 años</x:v>
      </x:c>
      <x:c r="E519" s="1" t="n">
        <x:v>351</x:v>
      </x:c>
    </x:row>
    <x:row r="520">
      <x:c r="A520" t="str">
        <x:v>MILPA ALTA</x:v>
      </x:c>
      <x:c r="B520" t="str">
        <x:v>San Antonio Tecómitl</x:v>
      </x:c>
      <x:c r="C520" t="str">
        <x:v>Hombre</x:v>
      </x:c>
      <x:c r="D520" t="str">
        <x:v>o) 70 a 74 años</x:v>
      </x:c>
      <x:c r="E520" s="1" t="n">
        <x:v>215</x:v>
      </x:c>
    </x:row>
    <x:row r="521">
      <x:c r="A521" t="str">
        <x:v>MILPA ALTA</x:v>
      </x:c>
      <x:c r="B521" t="str">
        <x:v>San Antonio Tecómitl</x:v>
      </x:c>
      <x:c r="C521" t="str">
        <x:v>Hombre</x:v>
      </x:c>
      <x:c r="D521" t="str">
        <x:v>p) 75 a 79 años</x:v>
      </x:c>
      <x:c r="E521" s="1" t="n">
        <x:v>163</x:v>
      </x:c>
    </x:row>
    <x:row r="522">
      <x:c r="A522" t="str">
        <x:v>MILPA ALTA</x:v>
      </x:c>
      <x:c r="B522" t="str">
        <x:v>San Antonio Tecómitl</x:v>
      </x:c>
      <x:c r="C522" t="str">
        <x:v>Hombre</x:v>
      </x:c>
      <x:c r="D522" t="str">
        <x:v>q) 80 a 84 años</x:v>
      </x:c>
      <x:c r="E522" s="1" t="n">
        <x:v>112</x:v>
      </x:c>
    </x:row>
    <x:row r="523">
      <x:c r="A523" t="str">
        <x:v>MILPA ALTA</x:v>
      </x:c>
      <x:c r="B523" t="str">
        <x:v>San Antonio Tecómitl</x:v>
      </x:c>
      <x:c r="C523" t="str">
        <x:v>Hombre</x:v>
      </x:c>
      <x:c r="D523" t="str">
        <x:v>r) 85 años y más</x:v>
      </x:c>
      <x:c r="E523" s="1" t="n">
        <x:v>75</x:v>
      </x:c>
    </x:row>
    <x:row r="524">
      <x:c r="A524" t="str">
        <x:v>MILPA ALTA</x:v>
      </x:c>
      <x:c r="B524" t="str">
        <x:v>San Antonio Tecómitl</x:v>
      </x:c>
      <x:c r="C524" t="str">
        <x:v>Mujer</x:v>
      </x:c>
      <x:c r="D524" t="str">
        <x:v>a) 0 a 4 años</x:v>
      </x:c>
      <x:c r="E524" s="1" t="n">
        <x:v>879</x:v>
      </x:c>
    </x:row>
    <x:row r="525">
      <x:c r="A525" t="str">
        <x:v>MILPA ALTA</x:v>
      </x:c>
      <x:c r="B525" t="str">
        <x:v>San Antonio Tecómitl</x:v>
      </x:c>
      <x:c r="C525" t="str">
        <x:v>Mujer</x:v>
      </x:c>
      <x:c r="D525" t="str">
        <x:v>b) 5 a 9 años</x:v>
      </x:c>
      <x:c r="E525" s="1" t="n">
        <x:v>1089</x:v>
      </x:c>
    </x:row>
    <x:row r="526">
      <x:c r="A526" t="str">
        <x:v>MILPA ALTA</x:v>
      </x:c>
      <x:c r="B526" t="str">
        <x:v>San Antonio Tecómitl</x:v>
      </x:c>
      <x:c r="C526" t="str">
        <x:v>Mujer</x:v>
      </x:c>
      <x:c r="D526" t="str">
        <x:v>c) 10 a 14 años</x:v>
      </x:c>
      <x:c r="E526" s="1" t="n">
        <x:v>1174</x:v>
      </x:c>
    </x:row>
    <x:row r="527">
      <x:c r="A527" t="str">
        <x:v>MILPA ALTA</x:v>
      </x:c>
      <x:c r="B527" t="str">
        <x:v>San Antonio Tecómitl</x:v>
      </x:c>
      <x:c r="C527" t="str">
        <x:v>Mujer</x:v>
      </x:c>
      <x:c r="D527" t="str">
        <x:v>d) 15 a 19 años</x:v>
      </x:c>
      <x:c r="E527" s="1" t="n">
        <x:v>1152</x:v>
      </x:c>
    </x:row>
    <x:row r="528">
      <x:c r="A528" t="str">
        <x:v>MILPA ALTA</x:v>
      </x:c>
      <x:c r="B528" t="str">
        <x:v>San Antonio Tecómitl</x:v>
      </x:c>
      <x:c r="C528" t="str">
        <x:v>Mujer</x:v>
      </x:c>
      <x:c r="D528" t="str">
        <x:v>e) 20 a 24 años</x:v>
      </x:c>
      <x:c r="E528" s="1" t="n">
        <x:v>1170</x:v>
      </x:c>
    </x:row>
    <x:row r="529">
      <x:c r="A529" t="str">
        <x:v>MILPA ALTA</x:v>
      </x:c>
      <x:c r="B529" t="str">
        <x:v>San Antonio Tecómitl</x:v>
      </x:c>
      <x:c r="C529" t="str">
        <x:v>Mujer</x:v>
      </x:c>
      <x:c r="D529" t="str">
        <x:v>f) 25 a 29 años</x:v>
      </x:c>
      <x:c r="E529" s="1" t="n">
        <x:v>1274</x:v>
      </x:c>
    </x:row>
    <x:row r="530">
      <x:c r="A530" t="str">
        <x:v>MILPA ALTA</x:v>
      </x:c>
      <x:c r="B530" t="str">
        <x:v>San Antonio Tecómitl</x:v>
      </x:c>
      <x:c r="C530" t="str">
        <x:v>Mujer</x:v>
      </x:c>
      <x:c r="D530" t="str">
        <x:v>g) 30 a 34 años</x:v>
      </x:c>
      <x:c r="E530" s="1" t="n">
        <x:v>1113</x:v>
      </x:c>
    </x:row>
    <x:row r="531">
      <x:c r="A531" t="str">
        <x:v>MILPA ALTA</x:v>
      </x:c>
      <x:c r="B531" t="str">
        <x:v>San Antonio Tecómitl</x:v>
      </x:c>
      <x:c r="C531" t="str">
        <x:v>Mujer</x:v>
      </x:c>
      <x:c r="D531" t="str">
        <x:v>h) 35 a 39 años</x:v>
      </x:c>
      <x:c r="E531" s="1" t="n">
        <x:v>1018</x:v>
      </x:c>
    </x:row>
    <x:row r="532">
      <x:c r="A532" t="str">
        <x:v>MILPA ALTA</x:v>
      </x:c>
      <x:c r="B532" t="str">
        <x:v>San Antonio Tecómitl</x:v>
      </x:c>
      <x:c r="C532" t="str">
        <x:v>Mujer</x:v>
      </x:c>
      <x:c r="D532" t="str">
        <x:v>i) 40 a 44 años</x:v>
      </x:c>
      <x:c r="E532" s="1" t="n">
        <x:v>995</x:v>
      </x:c>
    </x:row>
    <x:row r="533">
      <x:c r="A533" t="str">
        <x:v>MILPA ALTA</x:v>
      </x:c>
      <x:c r="B533" t="str">
        <x:v>San Antonio Tecómitl</x:v>
      </x:c>
      <x:c r="C533" t="str">
        <x:v>Mujer</x:v>
      </x:c>
      <x:c r="D533" t="str">
        <x:v>j) 45 a 49 años</x:v>
      </x:c>
      <x:c r="E533" s="1" t="n">
        <x:v>1039</x:v>
      </x:c>
    </x:row>
    <x:row r="534">
      <x:c r="A534" t="str">
        <x:v>MILPA ALTA</x:v>
      </x:c>
      <x:c r="B534" t="str">
        <x:v>San Antonio Tecómitl</x:v>
      </x:c>
      <x:c r="C534" t="str">
        <x:v>Mujer</x:v>
      </x:c>
      <x:c r="D534" t="str">
        <x:v>k) 50 a 54 años</x:v>
      </x:c>
      <x:c r="E534" s="1" t="n">
        <x:v>984</x:v>
      </x:c>
    </x:row>
    <x:row r="535">
      <x:c r="A535" t="str">
        <x:v>MILPA ALTA</x:v>
      </x:c>
      <x:c r="B535" t="str">
        <x:v>San Antonio Tecómitl</x:v>
      </x:c>
      <x:c r="C535" t="str">
        <x:v>Mujer</x:v>
      </x:c>
      <x:c r="D535" t="str">
        <x:v>l) 55 a 59 años</x:v>
      </x:c>
      <x:c r="E535" s="1" t="n">
        <x:v>731</x:v>
      </x:c>
    </x:row>
    <x:row r="536">
      <x:c r="A536" t="str">
        <x:v>MILPA ALTA</x:v>
      </x:c>
      <x:c r="B536" t="str">
        <x:v>San Antonio Tecómitl</x:v>
      </x:c>
      <x:c r="C536" t="str">
        <x:v>Mujer</x:v>
      </x:c>
      <x:c r="D536" t="str">
        <x:v>m) 60 a 64 años</x:v>
      </x:c>
      <x:c r="E536" s="1" t="n">
        <x:v>597</x:v>
      </x:c>
    </x:row>
    <x:row r="537">
      <x:c r="A537" t="str">
        <x:v>MILPA ALTA</x:v>
      </x:c>
      <x:c r="B537" t="str">
        <x:v>San Antonio Tecómitl</x:v>
      </x:c>
      <x:c r="C537" t="str">
        <x:v>Mujer</x:v>
      </x:c>
      <x:c r="D537" t="str">
        <x:v>n) 65 a 69 años</x:v>
      </x:c>
      <x:c r="E537" s="1" t="n">
        <x:v>387</x:v>
      </x:c>
    </x:row>
    <x:row r="538">
      <x:c r="A538" t="str">
        <x:v>MILPA ALTA</x:v>
      </x:c>
      <x:c r="B538" t="str">
        <x:v>San Antonio Tecómitl</x:v>
      </x:c>
      <x:c r="C538" t="str">
        <x:v>Mujer</x:v>
      </x:c>
      <x:c r="D538" t="str">
        <x:v>o) 70 a 74 años</x:v>
      </x:c>
      <x:c r="E538" s="1" t="n">
        <x:v>274</x:v>
      </x:c>
    </x:row>
    <x:row r="539">
      <x:c r="A539" t="str">
        <x:v>MILPA ALTA</x:v>
      </x:c>
      <x:c r="B539" t="str">
        <x:v>San Antonio Tecómitl</x:v>
      </x:c>
      <x:c r="C539" t="str">
        <x:v>Mujer</x:v>
      </x:c>
      <x:c r="D539" t="str">
        <x:v>p) 75 a 79 años</x:v>
      </x:c>
      <x:c r="E539" s="1" t="n">
        <x:v>168</x:v>
      </x:c>
    </x:row>
    <x:row r="540">
      <x:c r="A540" t="str">
        <x:v>MILPA ALTA</x:v>
      </x:c>
      <x:c r="B540" t="str">
        <x:v>San Antonio Tecómitl</x:v>
      </x:c>
      <x:c r="C540" t="str">
        <x:v>Mujer</x:v>
      </x:c>
      <x:c r="D540" t="str">
        <x:v>q) 80 a 84 años</x:v>
      </x:c>
      <x:c r="E540" s="1" t="n">
        <x:v>127</x:v>
      </x:c>
    </x:row>
    <x:row r="541">
      <x:c r="A541" t="str">
        <x:v>MILPA ALTA</x:v>
      </x:c>
      <x:c r="B541" t="str">
        <x:v>San Antonio Tecómitl</x:v>
      </x:c>
      <x:c r="C541" t="str">
        <x:v>Mujer</x:v>
      </x:c>
      <x:c r="D541" t="str">
        <x:v>r) 85 años y más</x:v>
      </x:c>
      <x:c r="E541" s="1" t="n">
        <x:v>119</x:v>
      </x:c>
    </x:row>
    <x:row r="542">
      <x:c r="A542" t="str">
        <x:v>MILPA ALTA</x:v>
      </x:c>
      <x:c r="B542" t="str">
        <x:v>San Bartolomé Xicomulco</x:v>
      </x:c>
      <x:c r="C542" t="str">
        <x:v>Hombre</x:v>
      </x:c>
      <x:c r="D542" t="str">
        <x:v>a) 0 a 4 años</x:v>
      </x:c>
      <x:c r="E542" s="1" t="n">
        <x:v>138</x:v>
      </x:c>
    </x:row>
    <x:row r="543">
      <x:c r="A543" t="str">
        <x:v>MILPA ALTA</x:v>
      </x:c>
      <x:c r="B543" t="str">
        <x:v>San Bartolomé Xicomulco</x:v>
      </x:c>
      <x:c r="C543" t="str">
        <x:v>Hombre</x:v>
      </x:c>
      <x:c r="D543" t="str">
        <x:v>b) 5 a 9 años</x:v>
      </x:c>
      <x:c r="E543" s="1" t="n">
        <x:v>188</x:v>
      </x:c>
    </x:row>
    <x:row r="544">
      <x:c r="A544" t="str">
        <x:v>MILPA ALTA</x:v>
      </x:c>
      <x:c r="B544" t="str">
        <x:v>San Bartolomé Xicomulco</x:v>
      </x:c>
      <x:c r="C544" t="str">
        <x:v>Hombre</x:v>
      </x:c>
      <x:c r="D544" t="str">
        <x:v>c) 10 a 14 años</x:v>
      </x:c>
      <x:c r="E544" s="1" t="n">
        <x:v>202</x:v>
      </x:c>
    </x:row>
    <x:row r="545">
      <x:c r="A545" t="str">
        <x:v>MILPA ALTA</x:v>
      </x:c>
      <x:c r="B545" t="str">
        <x:v>San Bartolomé Xicomulco</x:v>
      </x:c>
      <x:c r="C545" t="str">
        <x:v>Hombre</x:v>
      </x:c>
      <x:c r="D545" t="str">
        <x:v>d) 15 a 19 años</x:v>
      </x:c>
      <x:c r="E545" s="1" t="n">
        <x:v>232</x:v>
      </x:c>
    </x:row>
    <x:row r="546">
      <x:c r="A546" t="str">
        <x:v>MILPA ALTA</x:v>
      </x:c>
      <x:c r="B546" t="str">
        <x:v>San Bartolomé Xicomulco</x:v>
      </x:c>
      <x:c r="C546" t="str">
        <x:v>Hombre</x:v>
      </x:c>
      <x:c r="D546" t="str">
        <x:v>e) 20 a 24 años</x:v>
      </x:c>
      <x:c r="E546" s="1" t="n">
        <x:v>198</x:v>
      </x:c>
    </x:row>
    <x:row r="547">
      <x:c r="A547" t="str">
        <x:v>MILPA ALTA</x:v>
      </x:c>
      <x:c r="B547" t="str">
        <x:v>San Bartolomé Xicomulco</x:v>
      </x:c>
      <x:c r="C547" t="str">
        <x:v>Hombre</x:v>
      </x:c>
      <x:c r="D547" t="str">
        <x:v>f) 25 a 29 años</x:v>
      </x:c>
      <x:c r="E547" s="1" t="n">
        <x:v>180</x:v>
      </x:c>
    </x:row>
    <x:row r="548">
      <x:c r="A548" t="str">
        <x:v>MILPA ALTA</x:v>
      </x:c>
      <x:c r="B548" t="str">
        <x:v>San Bartolomé Xicomulco</x:v>
      </x:c>
      <x:c r="C548" t="str">
        <x:v>Hombre</x:v>
      </x:c>
      <x:c r="D548" t="str">
        <x:v>g) 30 a 34 años</x:v>
      </x:c>
      <x:c r="E548" s="1" t="n">
        <x:v>147</x:v>
      </x:c>
    </x:row>
    <x:row r="549">
      <x:c r="A549" t="str">
        <x:v>MILPA ALTA</x:v>
      </x:c>
      <x:c r="B549" t="str">
        <x:v>San Bartolomé Xicomulco</x:v>
      </x:c>
      <x:c r="C549" t="str">
        <x:v>Hombre</x:v>
      </x:c>
      <x:c r="D549" t="str">
        <x:v>h) 35 a 39 años</x:v>
      </x:c>
      <x:c r="E549" s="1" t="n">
        <x:v>141</x:v>
      </x:c>
    </x:row>
    <x:row r="550">
      <x:c r="A550" t="str">
        <x:v>MILPA ALTA</x:v>
      </x:c>
      <x:c r="B550" t="str">
        <x:v>San Bartolomé Xicomulco</x:v>
      </x:c>
      <x:c r="C550" t="str">
        <x:v>Hombre</x:v>
      </x:c>
      <x:c r="D550" t="str">
        <x:v>i) 40 a 44 años</x:v>
      </x:c>
      <x:c r="E550" s="1" t="n">
        <x:v>181</x:v>
      </x:c>
    </x:row>
    <x:row r="551">
      <x:c r="A551" t="str">
        <x:v>MILPA ALTA</x:v>
      </x:c>
      <x:c r="B551" t="str">
        <x:v>San Bartolomé Xicomulco</x:v>
      </x:c>
      <x:c r="C551" t="str">
        <x:v>Hombre</x:v>
      </x:c>
      <x:c r="D551" t="str">
        <x:v>j) 45 a 49 años</x:v>
      </x:c>
      <x:c r="E551" s="1" t="n">
        <x:v>167</x:v>
      </x:c>
    </x:row>
    <x:row r="552">
      <x:c r="A552" t="str">
        <x:v>MILPA ALTA</x:v>
      </x:c>
      <x:c r="B552" t="str">
        <x:v>San Bartolomé Xicomulco</x:v>
      </x:c>
      <x:c r="C552" t="str">
        <x:v>Hombre</x:v>
      </x:c>
      <x:c r="D552" t="str">
        <x:v>k) 50 a 54 años</x:v>
      </x:c>
      <x:c r="E552" s="1" t="n">
        <x:v>159</x:v>
      </x:c>
    </x:row>
    <x:row r="553">
      <x:c r="A553" t="str">
        <x:v>MILPA ALTA</x:v>
      </x:c>
      <x:c r="B553" t="str">
        <x:v>San Bartolomé Xicomulco</x:v>
      </x:c>
      <x:c r="C553" t="str">
        <x:v>Hombre</x:v>
      </x:c>
      <x:c r="D553" t="str">
        <x:v>l) 55 a 59 años</x:v>
      </x:c>
      <x:c r="E553" s="1" t="n">
        <x:v>129</x:v>
      </x:c>
    </x:row>
    <x:row r="554">
      <x:c r="A554" t="str">
        <x:v>MILPA ALTA</x:v>
      </x:c>
      <x:c r="B554" t="str">
        <x:v>San Bartolomé Xicomulco</x:v>
      </x:c>
      <x:c r="C554" t="str">
        <x:v>Hombre</x:v>
      </x:c>
      <x:c r="D554" t="str">
        <x:v>m) 60 a 64 años</x:v>
      </x:c>
      <x:c r="E554" s="1" t="n">
        <x:v>87</x:v>
      </x:c>
    </x:row>
    <x:row r="555">
      <x:c r="A555" t="str">
        <x:v>MILPA ALTA</x:v>
      </x:c>
      <x:c r="B555" t="str">
        <x:v>San Bartolomé Xicomulco</x:v>
      </x:c>
      <x:c r="C555" t="str">
        <x:v>Hombre</x:v>
      </x:c>
      <x:c r="D555" t="str">
        <x:v>n) 65 a 69 años</x:v>
      </x:c>
      <x:c r="E555" s="1" t="n">
        <x:v>72</x:v>
      </x:c>
    </x:row>
    <x:row r="556">
      <x:c r="A556" t="str">
        <x:v>MILPA ALTA</x:v>
      </x:c>
      <x:c r="B556" t="str">
        <x:v>San Bartolomé Xicomulco</x:v>
      </x:c>
      <x:c r="C556" t="str">
        <x:v>Hombre</x:v>
      </x:c>
      <x:c r="D556" t="str">
        <x:v>o) 70 a 74 años</x:v>
      </x:c>
      <x:c r="E556" s="1" t="n">
        <x:v>52</x:v>
      </x:c>
    </x:row>
    <x:row r="557">
      <x:c r="A557" t="str">
        <x:v>MILPA ALTA</x:v>
      </x:c>
      <x:c r="B557" t="str">
        <x:v>San Bartolomé Xicomulco</x:v>
      </x:c>
      <x:c r="C557" t="str">
        <x:v>Hombre</x:v>
      </x:c>
      <x:c r="D557" t="str">
        <x:v>p) 75 a 79 años</x:v>
      </x:c>
      <x:c r="E557" s="1" t="n">
        <x:v>43</x:v>
      </x:c>
    </x:row>
    <x:row r="558">
      <x:c r="A558" t="str">
        <x:v>MILPA ALTA</x:v>
      </x:c>
      <x:c r="B558" t="str">
        <x:v>San Bartolomé Xicomulco</x:v>
      </x:c>
      <x:c r="C558" t="str">
        <x:v>Hombre</x:v>
      </x:c>
      <x:c r="D558" t="str">
        <x:v>q) 80 a 84 años</x:v>
      </x:c>
      <x:c r="E558" s="1" t="n">
        <x:v>16</x:v>
      </x:c>
    </x:row>
    <x:row r="559">
      <x:c r="A559" t="str">
        <x:v>MILPA ALTA</x:v>
      </x:c>
      <x:c r="B559" t="str">
        <x:v>San Bartolomé Xicomulco</x:v>
      </x:c>
      <x:c r="C559" t="str">
        <x:v>Hombre</x:v>
      </x:c>
      <x:c r="D559" t="str">
        <x:v>r) 85 años y más</x:v>
      </x:c>
      <x:c r="E559" s="1" t="n">
        <x:v>19</x:v>
      </x:c>
    </x:row>
    <x:row r="560">
      <x:c r="A560" t="str">
        <x:v>MILPA ALTA</x:v>
      </x:c>
      <x:c r="B560" t="str">
        <x:v>San Bartolomé Xicomulco</x:v>
      </x:c>
      <x:c r="C560" t="str">
        <x:v>Mujer</x:v>
      </x:c>
      <x:c r="D560" t="str">
        <x:v>a) 0 a 4 años</x:v>
      </x:c>
      <x:c r="E560" s="1" t="n">
        <x:v>158</x:v>
      </x:c>
    </x:row>
    <x:row r="561">
      <x:c r="A561" t="str">
        <x:v>MILPA ALTA</x:v>
      </x:c>
      <x:c r="B561" t="str">
        <x:v>San Bartolomé Xicomulco</x:v>
      </x:c>
      <x:c r="C561" t="str">
        <x:v>Mujer</x:v>
      </x:c>
      <x:c r="D561" t="str">
        <x:v>b) 5 a 9 años</x:v>
      </x:c>
      <x:c r="E561" s="1" t="n">
        <x:v>203</x:v>
      </x:c>
    </x:row>
    <x:row r="562">
      <x:c r="A562" t="str">
        <x:v>MILPA ALTA</x:v>
      </x:c>
      <x:c r="B562" t="str">
        <x:v>San Bartolomé Xicomulco</x:v>
      </x:c>
      <x:c r="C562" t="str">
        <x:v>Mujer</x:v>
      </x:c>
      <x:c r="D562" t="str">
        <x:v>c) 10 a 14 años</x:v>
      </x:c>
      <x:c r="E562" s="1" t="n">
        <x:v>225</x:v>
      </x:c>
    </x:row>
    <x:row r="563">
      <x:c r="A563" t="str">
        <x:v>MILPA ALTA</x:v>
      </x:c>
      <x:c r="B563" t="str">
        <x:v>San Bartolomé Xicomulco</x:v>
      </x:c>
      <x:c r="C563" t="str">
        <x:v>Mujer</x:v>
      </x:c>
      <x:c r="D563" t="str">
        <x:v>d) 15 a 19 años</x:v>
      </x:c>
      <x:c r="E563" s="1" t="n">
        <x:v>206</x:v>
      </x:c>
    </x:row>
    <x:row r="564">
      <x:c r="A564" t="str">
        <x:v>MILPA ALTA</x:v>
      </x:c>
      <x:c r="B564" t="str">
        <x:v>San Bartolomé Xicomulco</x:v>
      </x:c>
      <x:c r="C564" t="str">
        <x:v>Mujer</x:v>
      </x:c>
      <x:c r="D564" t="str">
        <x:v>e) 20 a 24 años</x:v>
      </x:c>
      <x:c r="E564" s="1" t="n">
        <x:v>199</x:v>
      </x:c>
    </x:row>
    <x:row r="565">
      <x:c r="A565" t="str">
        <x:v>MILPA ALTA</x:v>
      </x:c>
      <x:c r="B565" t="str">
        <x:v>San Bartolomé Xicomulco</x:v>
      </x:c>
      <x:c r="C565" t="str">
        <x:v>Mujer</x:v>
      </x:c>
      <x:c r="D565" t="str">
        <x:v>f) 25 a 29 años</x:v>
      </x:c>
      <x:c r="E565" s="1" t="n">
        <x:v>184</x:v>
      </x:c>
    </x:row>
    <x:row r="566">
      <x:c r="A566" t="str">
        <x:v>MILPA ALTA</x:v>
      </x:c>
      <x:c r="B566" t="str">
        <x:v>San Bartolomé Xicomulco</x:v>
      </x:c>
      <x:c r="C566" t="str">
        <x:v>Mujer</x:v>
      </x:c>
      <x:c r="D566" t="str">
        <x:v>g) 30 a 34 años</x:v>
      </x:c>
      <x:c r="E566" s="1" t="n">
        <x:v>178</x:v>
      </x:c>
    </x:row>
    <x:row r="567">
      <x:c r="A567" t="str">
        <x:v>MILPA ALTA</x:v>
      </x:c>
      <x:c r="B567" t="str">
        <x:v>San Bartolomé Xicomulco</x:v>
      </x:c>
      <x:c r="C567" t="str">
        <x:v>Mujer</x:v>
      </x:c>
      <x:c r="D567" t="str">
        <x:v>h) 35 a 39 años</x:v>
      </x:c>
      <x:c r="E567" s="1" t="n">
        <x:v>174</x:v>
      </x:c>
    </x:row>
    <x:row r="568">
      <x:c r="A568" t="str">
        <x:v>MILPA ALTA</x:v>
      </x:c>
      <x:c r="B568" t="str">
        <x:v>San Bartolomé Xicomulco</x:v>
      </x:c>
      <x:c r="C568" t="str">
        <x:v>Mujer</x:v>
      </x:c>
      <x:c r="D568" t="str">
        <x:v>i) 40 a 44 años</x:v>
      </x:c>
      <x:c r="E568" s="1" t="n">
        <x:v>216</x:v>
      </x:c>
    </x:row>
    <x:row r="569">
      <x:c r="A569" t="str">
        <x:v>MILPA ALTA</x:v>
      </x:c>
      <x:c r="B569" t="str">
        <x:v>San Bartolomé Xicomulco</x:v>
      </x:c>
      <x:c r="C569" t="str">
        <x:v>Mujer</x:v>
      </x:c>
      <x:c r="D569" t="str">
        <x:v>j) 45 a 49 años</x:v>
      </x:c>
      <x:c r="E569" s="1" t="n">
        <x:v>211</x:v>
      </x:c>
    </x:row>
    <x:row r="570">
      <x:c r="A570" t="str">
        <x:v>MILPA ALTA</x:v>
      </x:c>
      <x:c r="B570" t="str">
        <x:v>San Bartolomé Xicomulco</x:v>
      </x:c>
      <x:c r="C570" t="str">
        <x:v>Mujer</x:v>
      </x:c>
      <x:c r="D570" t="str">
        <x:v>k) 50 a 54 años</x:v>
      </x:c>
      <x:c r="E570" s="1" t="n">
        <x:v>186</x:v>
      </x:c>
    </x:row>
    <x:row r="571">
      <x:c r="A571" t="str">
        <x:v>MILPA ALTA</x:v>
      </x:c>
      <x:c r="B571" t="str">
        <x:v>San Bartolomé Xicomulco</x:v>
      </x:c>
      <x:c r="C571" t="str">
        <x:v>Mujer</x:v>
      </x:c>
      <x:c r="D571" t="str">
        <x:v>l) 55 a 59 años</x:v>
      </x:c>
      <x:c r="E571" s="1" t="n">
        <x:v>117</x:v>
      </x:c>
    </x:row>
    <x:row r="572">
      <x:c r="A572" t="str">
        <x:v>MILPA ALTA</x:v>
      </x:c>
      <x:c r="B572" t="str">
        <x:v>San Bartolomé Xicomulco</x:v>
      </x:c>
      <x:c r="C572" t="str">
        <x:v>Mujer</x:v>
      </x:c>
      <x:c r="D572" t="str">
        <x:v>m) 60 a 64 años</x:v>
      </x:c>
      <x:c r="E572" s="1" t="n">
        <x:v>116</x:v>
      </x:c>
    </x:row>
    <x:row r="573">
      <x:c r="A573" t="str">
        <x:v>MILPA ALTA</x:v>
      </x:c>
      <x:c r="B573" t="str">
        <x:v>San Bartolomé Xicomulco</x:v>
      </x:c>
      <x:c r="C573" t="str">
        <x:v>Mujer</x:v>
      </x:c>
      <x:c r="D573" t="str">
        <x:v>n) 65 a 69 años</x:v>
      </x:c>
      <x:c r="E573" s="1" t="n">
        <x:v>71</x:v>
      </x:c>
    </x:row>
    <x:row r="574">
      <x:c r="A574" t="str">
        <x:v>MILPA ALTA</x:v>
      </x:c>
      <x:c r="B574" t="str">
        <x:v>San Bartolomé Xicomulco</x:v>
      </x:c>
      <x:c r="C574" t="str">
        <x:v>Mujer</x:v>
      </x:c>
      <x:c r="D574" t="str">
        <x:v>o) 70 a 74 años</x:v>
      </x:c>
      <x:c r="E574" s="1" t="n">
        <x:v>54</x:v>
      </x:c>
    </x:row>
    <x:row r="575">
      <x:c r="A575" t="str">
        <x:v>MILPA ALTA</x:v>
      </x:c>
      <x:c r="B575" t="str">
        <x:v>San Bartolomé Xicomulco</x:v>
      </x:c>
      <x:c r="C575" t="str">
        <x:v>Mujer</x:v>
      </x:c>
      <x:c r="D575" t="str">
        <x:v>p) 75 a 79 años</x:v>
      </x:c>
      <x:c r="E575" s="1" t="n">
        <x:v>37</x:v>
      </x:c>
    </x:row>
    <x:row r="576">
      <x:c r="A576" t="str">
        <x:v>MILPA ALTA</x:v>
      </x:c>
      <x:c r="B576" t="str">
        <x:v>San Bartolomé Xicomulco</x:v>
      </x:c>
      <x:c r="C576" t="str">
        <x:v>Mujer</x:v>
      </x:c>
      <x:c r="D576" t="str">
        <x:v>q) 80 a 84 años</x:v>
      </x:c>
      <x:c r="E576" s="1" t="n">
        <x:v>25</x:v>
      </x:c>
    </x:row>
    <x:row r="577">
      <x:c r="A577" t="str">
        <x:v>MILPA ALTA</x:v>
      </x:c>
      <x:c r="B577" t="str">
        <x:v>San Bartolomé Xicomulco</x:v>
      </x:c>
      <x:c r="C577" t="str">
        <x:v>Mujer</x:v>
      </x:c>
      <x:c r="D577" t="str">
        <x:v>r) 85 años y más</x:v>
      </x:c>
      <x:c r="E577" s="1" t="n">
        <x:v>22</x:v>
      </x:c>
    </x:row>
    <x:row r="578">
      <x:c r="A578" t="str">
        <x:v>MILPA ALTA</x:v>
      </x:c>
      <x:c r="B578" t="str">
        <x:v>San Francisco Tecoxpa</x:v>
      </x:c>
      <x:c r="C578" t="str">
        <x:v>Hombre</x:v>
      </x:c>
      <x:c r="D578" t="str">
        <x:v>a) 0 a 4 años</x:v>
      </x:c>
      <x:c r="E578" s="1" t="n">
        <x:v>507</x:v>
      </x:c>
    </x:row>
    <x:row r="579">
      <x:c r="A579" t="str">
        <x:v>MILPA ALTA</x:v>
      </x:c>
      <x:c r="B579" t="str">
        <x:v>San Francisco Tecoxpa</x:v>
      </x:c>
      <x:c r="C579" t="str">
        <x:v>Hombre</x:v>
      </x:c>
      <x:c r="D579" t="str">
        <x:v>b) 5 a 9 años</x:v>
      </x:c>
      <x:c r="E579" s="1" t="n">
        <x:v>570</x:v>
      </x:c>
    </x:row>
    <x:row r="580">
      <x:c r="A580" t="str">
        <x:v>MILPA ALTA</x:v>
      </x:c>
      <x:c r="B580" t="str">
        <x:v>San Francisco Tecoxpa</x:v>
      </x:c>
      <x:c r="C580" t="str">
        <x:v>Hombre</x:v>
      </x:c>
      <x:c r="D580" t="str">
        <x:v>c) 10 a 14 años</x:v>
      </x:c>
      <x:c r="E580" s="1" t="n">
        <x:v>602</x:v>
      </x:c>
    </x:row>
    <x:row r="581">
      <x:c r="A581" t="str">
        <x:v>MILPA ALTA</x:v>
      </x:c>
      <x:c r="B581" t="str">
        <x:v>San Francisco Tecoxpa</x:v>
      </x:c>
      <x:c r="C581" t="str">
        <x:v>Hombre</x:v>
      </x:c>
      <x:c r="D581" t="str">
        <x:v>d) 15 a 19 años</x:v>
      </x:c>
      <x:c r="E581" s="1" t="n">
        <x:v>629</x:v>
      </x:c>
    </x:row>
    <x:row r="582">
      <x:c r="A582" t="str">
        <x:v>MILPA ALTA</x:v>
      </x:c>
      <x:c r="B582" t="str">
        <x:v>San Francisco Tecoxpa</x:v>
      </x:c>
      <x:c r="C582" t="str">
        <x:v>Hombre</x:v>
      </x:c>
      <x:c r="D582" t="str">
        <x:v>e) 20 a 24 años</x:v>
      </x:c>
      <x:c r="E582" s="1" t="n">
        <x:v>693</x:v>
      </x:c>
    </x:row>
    <x:row r="583">
      <x:c r="A583" t="str">
        <x:v>MILPA ALTA</x:v>
      </x:c>
      <x:c r="B583" t="str">
        <x:v>San Francisco Tecoxpa</x:v>
      </x:c>
      <x:c r="C583" t="str">
        <x:v>Hombre</x:v>
      </x:c>
      <x:c r="D583" t="str">
        <x:v>f) 25 a 29 años</x:v>
      </x:c>
      <x:c r="E583" s="1" t="n">
        <x:v>568</x:v>
      </x:c>
    </x:row>
    <x:row r="584">
      <x:c r="A584" t="str">
        <x:v>MILPA ALTA</x:v>
      </x:c>
      <x:c r="B584" t="str">
        <x:v>San Francisco Tecoxpa</x:v>
      </x:c>
      <x:c r="C584" t="str">
        <x:v>Hombre</x:v>
      </x:c>
      <x:c r="D584" t="str">
        <x:v>g) 30 a 34 años</x:v>
      </x:c>
      <x:c r="E584" s="1" t="n">
        <x:v>510</x:v>
      </x:c>
    </x:row>
    <x:row r="585">
      <x:c r="A585" t="str">
        <x:v>MILPA ALTA</x:v>
      </x:c>
      <x:c r="B585" t="str">
        <x:v>San Francisco Tecoxpa</x:v>
      </x:c>
      <x:c r="C585" t="str">
        <x:v>Hombre</x:v>
      </x:c>
      <x:c r="D585" t="str">
        <x:v>h) 35 a 39 años</x:v>
      </x:c>
      <x:c r="E585" s="1" t="n">
        <x:v>486</x:v>
      </x:c>
    </x:row>
    <x:row r="586">
      <x:c r="A586" t="str">
        <x:v>MILPA ALTA</x:v>
      </x:c>
      <x:c r="B586" t="str">
        <x:v>San Francisco Tecoxpa</x:v>
      </x:c>
      <x:c r="C586" t="str">
        <x:v>Hombre</x:v>
      </x:c>
      <x:c r="D586" t="str">
        <x:v>i) 40 a 44 años</x:v>
      </x:c>
      <x:c r="E586" s="1" t="n">
        <x:v>436</x:v>
      </x:c>
    </x:row>
    <x:row r="587">
      <x:c r="A587" t="str">
        <x:v>MILPA ALTA</x:v>
      </x:c>
      <x:c r="B587" t="str">
        <x:v>San Francisco Tecoxpa</x:v>
      </x:c>
      <x:c r="C587" t="str">
        <x:v>Hombre</x:v>
      </x:c>
      <x:c r="D587" t="str">
        <x:v>j) 45 a 49 años</x:v>
      </x:c>
      <x:c r="E587" s="1" t="n">
        <x:v>444</x:v>
      </x:c>
    </x:row>
    <x:row r="588">
      <x:c r="A588" t="str">
        <x:v>MILPA ALTA</x:v>
      </x:c>
      <x:c r="B588" t="str">
        <x:v>San Francisco Tecoxpa</x:v>
      </x:c>
      <x:c r="C588" t="str">
        <x:v>Hombre</x:v>
      </x:c>
      <x:c r="D588" t="str">
        <x:v>k) 50 a 54 años</x:v>
      </x:c>
      <x:c r="E588" s="1" t="n">
        <x:v>375</x:v>
      </x:c>
    </x:row>
    <x:row r="589">
      <x:c r="A589" t="str">
        <x:v>MILPA ALTA</x:v>
      </x:c>
      <x:c r="B589" t="str">
        <x:v>San Francisco Tecoxpa</x:v>
      </x:c>
      <x:c r="C589" t="str">
        <x:v>Hombre</x:v>
      </x:c>
      <x:c r="D589" t="str">
        <x:v>l) 55 a 59 años</x:v>
      </x:c>
      <x:c r="E589" s="1" t="n">
        <x:v>314</x:v>
      </x:c>
    </x:row>
    <x:row r="590">
      <x:c r="A590" t="str">
        <x:v>MILPA ALTA</x:v>
      </x:c>
      <x:c r="B590" t="str">
        <x:v>San Francisco Tecoxpa</x:v>
      </x:c>
      <x:c r="C590" t="str">
        <x:v>Hombre</x:v>
      </x:c>
      <x:c r="D590" t="str">
        <x:v>m) 60 a 64 años</x:v>
      </x:c>
      <x:c r="E590" s="1" t="n">
        <x:v>229</x:v>
      </x:c>
    </x:row>
    <x:row r="591">
      <x:c r="A591" t="str">
        <x:v>MILPA ALTA</x:v>
      </x:c>
      <x:c r="B591" t="str">
        <x:v>San Francisco Tecoxpa</x:v>
      </x:c>
      <x:c r="C591" t="str">
        <x:v>Hombre</x:v>
      </x:c>
      <x:c r="D591" t="str">
        <x:v>n) 65 a 69 años</x:v>
      </x:c>
      <x:c r="E591" s="1" t="n">
        <x:v>167</x:v>
      </x:c>
    </x:row>
    <x:row r="592">
      <x:c r="A592" t="str">
        <x:v>MILPA ALTA</x:v>
      </x:c>
      <x:c r="B592" t="str">
        <x:v>San Francisco Tecoxpa</x:v>
      </x:c>
      <x:c r="C592" t="str">
        <x:v>Hombre</x:v>
      </x:c>
      <x:c r="D592" t="str">
        <x:v>o) 70 a 74 años</x:v>
      </x:c>
      <x:c r="E592" s="1" t="n">
        <x:v>118</x:v>
      </x:c>
    </x:row>
    <x:row r="593">
      <x:c r="A593" t="str">
        <x:v>MILPA ALTA</x:v>
      </x:c>
      <x:c r="B593" t="str">
        <x:v>San Francisco Tecoxpa</x:v>
      </x:c>
      <x:c r="C593" t="str">
        <x:v>Hombre</x:v>
      </x:c>
      <x:c r="D593" t="str">
        <x:v>p) 75 a 79 años</x:v>
      </x:c>
      <x:c r="E593" s="1" t="n">
        <x:v>76</x:v>
      </x:c>
    </x:row>
    <x:row r="594">
      <x:c r="A594" t="str">
        <x:v>MILPA ALTA</x:v>
      </x:c>
      <x:c r="B594" t="str">
        <x:v>San Francisco Tecoxpa</x:v>
      </x:c>
      <x:c r="C594" t="str">
        <x:v>Hombre</x:v>
      </x:c>
      <x:c r="D594" t="str">
        <x:v>q) 80 a 84 años</x:v>
      </x:c>
      <x:c r="E594" s="1" t="n">
        <x:v>42</x:v>
      </x:c>
    </x:row>
    <x:row r="595">
      <x:c r="A595" t="str">
        <x:v>MILPA ALTA</x:v>
      </x:c>
      <x:c r="B595" t="str">
        <x:v>San Francisco Tecoxpa</x:v>
      </x:c>
      <x:c r="C595" t="str">
        <x:v>Hombre</x:v>
      </x:c>
      <x:c r="D595" t="str">
        <x:v>r) 85 años y más</x:v>
      </x:c>
      <x:c r="E595" s="1" t="n">
        <x:v>37</x:v>
      </x:c>
    </x:row>
    <x:row r="596">
      <x:c r="A596" t="str">
        <x:v>MILPA ALTA</x:v>
      </x:c>
      <x:c r="B596" t="str">
        <x:v>San Francisco Tecoxpa</x:v>
      </x:c>
      <x:c r="C596" t="str">
        <x:v>Mujer</x:v>
      </x:c>
      <x:c r="D596" t="str">
        <x:v>a) 0 a 4 años</x:v>
      </x:c>
      <x:c r="E596" s="1" t="n">
        <x:v>446</x:v>
      </x:c>
    </x:row>
    <x:row r="597">
      <x:c r="A597" t="str">
        <x:v>MILPA ALTA</x:v>
      </x:c>
      <x:c r="B597" t="str">
        <x:v>San Francisco Tecoxpa</x:v>
      </x:c>
      <x:c r="C597" t="str">
        <x:v>Mujer</x:v>
      </x:c>
      <x:c r="D597" t="str">
        <x:v>b) 5 a 9 años</x:v>
      </x:c>
      <x:c r="E597" s="1" t="n">
        <x:v>588</x:v>
      </x:c>
    </x:row>
    <x:row r="598">
      <x:c r="A598" t="str">
        <x:v>MILPA ALTA</x:v>
      </x:c>
      <x:c r="B598" t="str">
        <x:v>San Francisco Tecoxpa</x:v>
      </x:c>
      <x:c r="C598" t="str">
        <x:v>Mujer</x:v>
      </x:c>
      <x:c r="D598" t="str">
        <x:v>c) 10 a 14 años</x:v>
      </x:c>
      <x:c r="E598" s="1" t="n">
        <x:v>582</x:v>
      </x:c>
    </x:row>
    <x:row r="599">
      <x:c r="A599" t="str">
        <x:v>MILPA ALTA</x:v>
      </x:c>
      <x:c r="B599" t="str">
        <x:v>San Francisco Tecoxpa</x:v>
      </x:c>
      <x:c r="C599" t="str">
        <x:v>Mujer</x:v>
      </x:c>
      <x:c r="D599" t="str">
        <x:v>d) 15 a 19 años</x:v>
      </x:c>
      <x:c r="E599" s="1" t="n">
        <x:v>603</x:v>
      </x:c>
    </x:row>
    <x:row r="600">
      <x:c r="A600" t="str">
        <x:v>MILPA ALTA</x:v>
      </x:c>
      <x:c r="B600" t="str">
        <x:v>San Francisco Tecoxpa</x:v>
      </x:c>
      <x:c r="C600" t="str">
        <x:v>Mujer</x:v>
      </x:c>
      <x:c r="D600" t="str">
        <x:v>e) 20 a 24 años</x:v>
      </x:c>
      <x:c r="E600" s="1" t="n">
        <x:v>627</x:v>
      </x:c>
    </x:row>
    <x:row r="601">
      <x:c r="A601" t="str">
        <x:v>MILPA ALTA</x:v>
      </x:c>
      <x:c r="B601" t="str">
        <x:v>San Francisco Tecoxpa</x:v>
      </x:c>
      <x:c r="C601" t="str">
        <x:v>Mujer</x:v>
      </x:c>
      <x:c r="D601" t="str">
        <x:v>f) 25 a 29 años</x:v>
      </x:c>
      <x:c r="E601" s="1" t="n">
        <x:v>577</x:v>
      </x:c>
    </x:row>
    <x:row r="602">
      <x:c r="A602" t="str">
        <x:v>MILPA ALTA</x:v>
      </x:c>
      <x:c r="B602" t="str">
        <x:v>San Francisco Tecoxpa</x:v>
      </x:c>
      <x:c r="C602" t="str">
        <x:v>Mujer</x:v>
      </x:c>
      <x:c r="D602" t="str">
        <x:v>g) 30 a 34 años</x:v>
      </x:c>
      <x:c r="E602" s="1" t="n">
        <x:v>584</x:v>
      </x:c>
    </x:row>
    <x:row r="603">
      <x:c r="A603" t="str">
        <x:v>MILPA ALTA</x:v>
      </x:c>
      <x:c r="B603" t="str">
        <x:v>San Francisco Tecoxpa</x:v>
      </x:c>
      <x:c r="C603" t="str">
        <x:v>Mujer</x:v>
      </x:c>
      <x:c r="D603" t="str">
        <x:v>h) 35 a 39 años</x:v>
      </x:c>
      <x:c r="E603" s="1" t="n">
        <x:v>535</x:v>
      </x:c>
    </x:row>
    <x:row r="604">
      <x:c r="A604" t="str">
        <x:v>MILPA ALTA</x:v>
      </x:c>
      <x:c r="B604" t="str">
        <x:v>San Francisco Tecoxpa</x:v>
      </x:c>
      <x:c r="C604" t="str">
        <x:v>Mujer</x:v>
      </x:c>
      <x:c r="D604" t="str">
        <x:v>i) 40 a 44 años</x:v>
      </x:c>
      <x:c r="E604" s="1" t="n">
        <x:v>511</x:v>
      </x:c>
    </x:row>
    <x:row r="605">
      <x:c r="A605" t="str">
        <x:v>MILPA ALTA</x:v>
      </x:c>
      <x:c r="B605" t="str">
        <x:v>San Francisco Tecoxpa</x:v>
      </x:c>
      <x:c r="C605" t="str">
        <x:v>Mujer</x:v>
      </x:c>
      <x:c r="D605" t="str">
        <x:v>j) 45 a 49 años</x:v>
      </x:c>
      <x:c r="E605" s="1" t="n">
        <x:v>492</x:v>
      </x:c>
    </x:row>
    <x:row r="606">
      <x:c r="A606" t="str">
        <x:v>MILPA ALTA</x:v>
      </x:c>
      <x:c r="B606" t="str">
        <x:v>San Francisco Tecoxpa</x:v>
      </x:c>
      <x:c r="C606" t="str">
        <x:v>Mujer</x:v>
      </x:c>
      <x:c r="D606" t="str">
        <x:v>k) 50 a 54 años</x:v>
      </x:c>
      <x:c r="E606" s="1" t="n">
        <x:v>471</x:v>
      </x:c>
    </x:row>
    <x:row r="607">
      <x:c r="A607" t="str">
        <x:v>MILPA ALTA</x:v>
      </x:c>
      <x:c r="B607" t="str">
        <x:v>San Francisco Tecoxpa</x:v>
      </x:c>
      <x:c r="C607" t="str">
        <x:v>Mujer</x:v>
      </x:c>
      <x:c r="D607" t="str">
        <x:v>l) 55 a 59 años</x:v>
      </x:c>
      <x:c r="E607" s="1" t="n">
        <x:v>332</x:v>
      </x:c>
    </x:row>
    <x:row r="608">
      <x:c r="A608" t="str">
        <x:v>MILPA ALTA</x:v>
      </x:c>
      <x:c r="B608" t="str">
        <x:v>San Francisco Tecoxpa</x:v>
      </x:c>
      <x:c r="C608" t="str">
        <x:v>Mujer</x:v>
      </x:c>
      <x:c r="D608" t="str">
        <x:v>m) 60 a 64 años</x:v>
      </x:c>
      <x:c r="E608" s="1" t="n">
        <x:v>264</x:v>
      </x:c>
    </x:row>
    <x:row r="609">
      <x:c r="A609" t="str">
        <x:v>MILPA ALTA</x:v>
      </x:c>
      <x:c r="B609" t="str">
        <x:v>San Francisco Tecoxpa</x:v>
      </x:c>
      <x:c r="C609" t="str">
        <x:v>Mujer</x:v>
      </x:c>
      <x:c r="D609" t="str">
        <x:v>n) 65 a 69 años</x:v>
      </x:c>
      <x:c r="E609" s="1" t="n">
        <x:v>168</x:v>
      </x:c>
    </x:row>
    <x:row r="610">
      <x:c r="A610" t="str">
        <x:v>MILPA ALTA</x:v>
      </x:c>
      <x:c r="B610" t="str">
        <x:v>San Francisco Tecoxpa</x:v>
      </x:c>
      <x:c r="C610" t="str">
        <x:v>Mujer</x:v>
      </x:c>
      <x:c r="D610" t="str">
        <x:v>o) 70 a 74 años</x:v>
      </x:c>
      <x:c r="E610" s="1" t="n">
        <x:v>110</x:v>
      </x:c>
    </x:row>
    <x:row r="611">
      <x:c r="A611" t="str">
        <x:v>MILPA ALTA</x:v>
      </x:c>
      <x:c r="B611" t="str">
        <x:v>San Francisco Tecoxpa</x:v>
      </x:c>
      <x:c r="C611" t="str">
        <x:v>Mujer</x:v>
      </x:c>
      <x:c r="D611" t="str">
        <x:v>p) 75 a 79 años</x:v>
      </x:c>
      <x:c r="E611" s="1" t="n">
        <x:v>104</x:v>
      </x:c>
    </x:row>
    <x:row r="612">
      <x:c r="A612" t="str">
        <x:v>MILPA ALTA</x:v>
      </x:c>
      <x:c r="B612" t="str">
        <x:v>San Francisco Tecoxpa</x:v>
      </x:c>
      <x:c r="C612" t="str">
        <x:v>Mujer</x:v>
      </x:c>
      <x:c r="D612" t="str">
        <x:v>q) 80 a 84 años</x:v>
      </x:c>
      <x:c r="E612" s="1" t="n">
        <x:v>56</x:v>
      </x:c>
    </x:row>
    <x:row r="613">
      <x:c r="A613" t="str">
        <x:v>MILPA ALTA</x:v>
      </x:c>
      <x:c r="B613" t="str">
        <x:v>San Francisco Tecoxpa</x:v>
      </x:c>
      <x:c r="C613" t="str">
        <x:v>Mujer</x:v>
      </x:c>
      <x:c r="D613" t="str">
        <x:v>r) 85 años y más</x:v>
      </x:c>
      <x:c r="E613" s="1" t="n">
        <x:v>59</x:v>
      </x:c>
    </x:row>
    <x:row r="614">
      <x:c r="A614" t="str">
        <x:v>MILPA ALTA</x:v>
      </x:c>
      <x:c r="B614" t="str">
        <x:v>San Pablo Oztotepec</x:v>
      </x:c>
      <x:c r="C614" t="str">
        <x:v>Hombre</x:v>
      </x:c>
      <x:c r="D614" t="str">
        <x:v>a) 0 a 4 años</x:v>
      </x:c>
      <x:c r="E614" s="1" t="n">
        <x:v>603</x:v>
      </x:c>
    </x:row>
    <x:row r="615">
      <x:c r="A615" t="str">
        <x:v>MILPA ALTA</x:v>
      </x:c>
      <x:c r="B615" t="str">
        <x:v>San Pablo Oztotepec</x:v>
      </x:c>
      <x:c r="C615" t="str">
        <x:v>Hombre</x:v>
      </x:c>
      <x:c r="D615" t="str">
        <x:v>b) 5 a 9 años</x:v>
      </x:c>
      <x:c r="E615" s="1" t="n">
        <x:v>751</x:v>
      </x:c>
    </x:row>
    <x:row r="616">
      <x:c r="A616" t="str">
        <x:v>MILPA ALTA</x:v>
      </x:c>
      <x:c r="B616" t="str">
        <x:v>San Pablo Oztotepec</x:v>
      </x:c>
      <x:c r="C616" t="str">
        <x:v>Hombre</x:v>
      </x:c>
      <x:c r="D616" t="str">
        <x:v>c) 10 a 14 años</x:v>
      </x:c>
      <x:c r="E616" s="1" t="n">
        <x:v>775</x:v>
      </x:c>
    </x:row>
    <x:row r="617">
      <x:c r="A617" t="str">
        <x:v>MILPA ALTA</x:v>
      </x:c>
      <x:c r="B617" t="str">
        <x:v>San Pablo Oztotepec</x:v>
      </x:c>
      <x:c r="C617" t="str">
        <x:v>Hombre</x:v>
      </x:c>
      <x:c r="D617" t="str">
        <x:v>d) 15 a 19 años</x:v>
      </x:c>
      <x:c r="E617" s="1" t="n">
        <x:v>807</x:v>
      </x:c>
    </x:row>
    <x:row r="618">
      <x:c r="A618" t="str">
        <x:v>MILPA ALTA</x:v>
      </x:c>
      <x:c r="B618" t="str">
        <x:v>San Pablo Oztotepec</x:v>
      </x:c>
      <x:c r="C618" t="str">
        <x:v>Hombre</x:v>
      </x:c>
      <x:c r="D618" t="str">
        <x:v>e) 20 a 24 años</x:v>
      </x:c>
      <x:c r="E618" s="1" t="n">
        <x:v>763</x:v>
      </x:c>
    </x:row>
    <x:row r="619">
      <x:c r="A619" t="str">
        <x:v>MILPA ALTA</x:v>
      </x:c>
      <x:c r="B619" t="str">
        <x:v>San Pablo Oztotepec</x:v>
      </x:c>
      <x:c r="C619" t="str">
        <x:v>Hombre</x:v>
      </x:c>
      <x:c r="D619" t="str">
        <x:v>f) 25 a 29 años</x:v>
      </x:c>
      <x:c r="E619" s="1" t="n">
        <x:v>724</x:v>
      </x:c>
    </x:row>
    <x:row r="620">
      <x:c r="A620" t="str">
        <x:v>MILPA ALTA</x:v>
      </x:c>
      <x:c r="B620" t="str">
        <x:v>San Pablo Oztotepec</x:v>
      </x:c>
      <x:c r="C620" t="str">
        <x:v>Hombre</x:v>
      </x:c>
      <x:c r="D620" t="str">
        <x:v>g) 30 a 34 años</x:v>
      </x:c>
      <x:c r="E620" s="1" t="n">
        <x:v>642</x:v>
      </x:c>
    </x:row>
    <x:row r="621">
      <x:c r="A621" t="str">
        <x:v>MILPA ALTA</x:v>
      </x:c>
      <x:c r="B621" t="str">
        <x:v>San Pablo Oztotepec</x:v>
      </x:c>
      <x:c r="C621" t="str">
        <x:v>Hombre</x:v>
      </x:c>
      <x:c r="D621" t="str">
        <x:v>h) 35 a 39 años</x:v>
      </x:c>
      <x:c r="E621" s="1" t="n">
        <x:v>594</x:v>
      </x:c>
    </x:row>
    <x:row r="622">
      <x:c r="A622" t="str">
        <x:v>MILPA ALTA</x:v>
      </x:c>
      <x:c r="B622" t="str">
        <x:v>San Pablo Oztotepec</x:v>
      </x:c>
      <x:c r="C622" t="str">
        <x:v>Hombre</x:v>
      </x:c>
      <x:c r="D622" t="str">
        <x:v>i) 40 a 44 años</x:v>
      </x:c>
      <x:c r="E622" s="1" t="n">
        <x:v>576</x:v>
      </x:c>
    </x:row>
    <x:row r="623">
      <x:c r="A623" t="str">
        <x:v>MILPA ALTA</x:v>
      </x:c>
      <x:c r="B623" t="str">
        <x:v>San Pablo Oztotepec</x:v>
      </x:c>
      <x:c r="C623" t="str">
        <x:v>Hombre</x:v>
      </x:c>
      <x:c r="D623" t="str">
        <x:v>j) 45 a 49 años</x:v>
      </x:c>
      <x:c r="E623" s="1" t="n">
        <x:v>547</x:v>
      </x:c>
    </x:row>
    <x:row r="624">
      <x:c r="A624" t="str">
        <x:v>MILPA ALTA</x:v>
      </x:c>
      <x:c r="B624" t="str">
        <x:v>San Pablo Oztotepec</x:v>
      </x:c>
      <x:c r="C624" t="str">
        <x:v>Hombre</x:v>
      </x:c>
      <x:c r="D624" t="str">
        <x:v>k) 50 a 54 años</x:v>
      </x:c>
      <x:c r="E624" s="1" t="n">
        <x:v>489</x:v>
      </x:c>
    </x:row>
    <x:row r="625">
      <x:c r="A625" t="str">
        <x:v>MILPA ALTA</x:v>
      </x:c>
      <x:c r="B625" t="str">
        <x:v>San Pablo Oztotepec</x:v>
      </x:c>
      <x:c r="C625" t="str">
        <x:v>Hombre</x:v>
      </x:c>
      <x:c r="D625" t="str">
        <x:v>l) 55 a 59 años</x:v>
      </x:c>
      <x:c r="E625" s="1" t="n">
        <x:v>354</x:v>
      </x:c>
    </x:row>
    <x:row r="626">
      <x:c r="A626" t="str">
        <x:v>MILPA ALTA</x:v>
      </x:c>
      <x:c r="B626" t="str">
        <x:v>San Pablo Oztotepec</x:v>
      </x:c>
      <x:c r="C626" t="str">
        <x:v>Hombre</x:v>
      </x:c>
      <x:c r="D626" t="str">
        <x:v>m) 60 a 64 años</x:v>
      </x:c>
      <x:c r="E626" s="1" t="n">
        <x:v>325</x:v>
      </x:c>
    </x:row>
    <x:row r="627">
      <x:c r="A627" t="str">
        <x:v>MILPA ALTA</x:v>
      </x:c>
      <x:c r="B627" t="str">
        <x:v>San Pablo Oztotepec</x:v>
      </x:c>
      <x:c r="C627" t="str">
        <x:v>Hombre</x:v>
      </x:c>
      <x:c r="D627" t="str">
        <x:v>n) 65 a 69 años</x:v>
      </x:c>
      <x:c r="E627" s="1" t="n">
        <x:v>236</x:v>
      </x:c>
    </x:row>
    <x:row r="628">
      <x:c r="A628" t="str">
        <x:v>MILPA ALTA</x:v>
      </x:c>
      <x:c r="B628" t="str">
        <x:v>San Pablo Oztotepec</x:v>
      </x:c>
      <x:c r="C628" t="str">
        <x:v>Hombre</x:v>
      </x:c>
      <x:c r="D628" t="str">
        <x:v>o) 70 a 74 años</x:v>
      </x:c>
      <x:c r="E628" s="1" t="n">
        <x:v>121</x:v>
      </x:c>
    </x:row>
    <x:row r="629">
      <x:c r="A629" t="str">
        <x:v>MILPA ALTA</x:v>
      </x:c>
      <x:c r="B629" t="str">
        <x:v>San Pablo Oztotepec</x:v>
      </x:c>
      <x:c r="C629" t="str">
        <x:v>Hombre</x:v>
      </x:c>
      <x:c r="D629" t="str">
        <x:v>p) 75 a 79 años</x:v>
      </x:c>
      <x:c r="E629" s="1" t="n">
        <x:v>98</x:v>
      </x:c>
    </x:row>
    <x:row r="630">
      <x:c r="A630" t="str">
        <x:v>MILPA ALTA</x:v>
      </x:c>
      <x:c r="B630" t="str">
        <x:v>San Pablo Oztotepec</x:v>
      </x:c>
      <x:c r="C630" t="str">
        <x:v>Hombre</x:v>
      </x:c>
      <x:c r="D630" t="str">
        <x:v>q) 80 a 84 años</x:v>
      </x:c>
      <x:c r="E630" s="1" t="n">
        <x:v>71</x:v>
      </x:c>
    </x:row>
    <x:row r="631">
      <x:c r="A631" t="str">
        <x:v>MILPA ALTA</x:v>
      </x:c>
      <x:c r="B631" t="str">
        <x:v>San Pablo Oztotepec</x:v>
      </x:c>
      <x:c r="C631" t="str">
        <x:v>Hombre</x:v>
      </x:c>
      <x:c r="D631" t="str">
        <x:v>r) 85 años y más</x:v>
      </x:c>
      <x:c r="E631" s="1" t="n">
        <x:v>35</x:v>
      </x:c>
    </x:row>
    <x:row r="632">
      <x:c r="A632" t="str">
        <x:v>MILPA ALTA</x:v>
      </x:c>
      <x:c r="B632" t="str">
        <x:v>San Pablo Oztotepec</x:v>
      </x:c>
      <x:c r="C632" t="str">
        <x:v>Mujer</x:v>
      </x:c>
      <x:c r="D632" t="str">
        <x:v>a) 0 a 4 años</x:v>
      </x:c>
      <x:c r="E632" s="1" t="n">
        <x:v>648</x:v>
      </x:c>
    </x:row>
    <x:row r="633">
      <x:c r="A633" t="str">
        <x:v>MILPA ALTA</x:v>
      </x:c>
      <x:c r="B633" t="str">
        <x:v>San Pablo Oztotepec</x:v>
      </x:c>
      <x:c r="C633" t="str">
        <x:v>Mujer</x:v>
      </x:c>
      <x:c r="D633" t="str">
        <x:v>b) 5 a 9 años</x:v>
      </x:c>
      <x:c r="E633" s="1" t="n">
        <x:v>779</x:v>
      </x:c>
    </x:row>
    <x:row r="634">
      <x:c r="A634" t="str">
        <x:v>MILPA ALTA</x:v>
      </x:c>
      <x:c r="B634" t="str">
        <x:v>San Pablo Oztotepec</x:v>
      </x:c>
      <x:c r="C634" t="str">
        <x:v>Mujer</x:v>
      </x:c>
      <x:c r="D634" t="str">
        <x:v>c) 10 a 14 años</x:v>
      </x:c>
      <x:c r="E634" s="1" t="n">
        <x:v>845</x:v>
      </x:c>
    </x:row>
    <x:row r="635">
      <x:c r="A635" t="str">
        <x:v>MILPA ALTA</x:v>
      </x:c>
      <x:c r="B635" t="str">
        <x:v>San Pablo Oztotepec</x:v>
      </x:c>
      <x:c r="C635" t="str">
        <x:v>Mujer</x:v>
      </x:c>
      <x:c r="D635" t="str">
        <x:v>d) 15 a 19 años</x:v>
      </x:c>
      <x:c r="E635" s="1" t="n">
        <x:v>799</x:v>
      </x:c>
    </x:row>
    <x:row r="636">
      <x:c r="A636" t="str">
        <x:v>MILPA ALTA</x:v>
      </x:c>
      <x:c r="B636" t="str">
        <x:v>San Pablo Oztotepec</x:v>
      </x:c>
      <x:c r="C636" t="str">
        <x:v>Mujer</x:v>
      </x:c>
      <x:c r="D636" t="str">
        <x:v>e) 20 a 24 años</x:v>
      </x:c>
      <x:c r="E636" s="1" t="n">
        <x:v>752</x:v>
      </x:c>
    </x:row>
    <x:row r="637">
      <x:c r="A637" t="str">
        <x:v>MILPA ALTA</x:v>
      </x:c>
      <x:c r="B637" t="str">
        <x:v>San Pablo Oztotepec</x:v>
      </x:c>
      <x:c r="C637" t="str">
        <x:v>Mujer</x:v>
      </x:c>
      <x:c r="D637" t="str">
        <x:v>f) 25 a 29 años</x:v>
      </x:c>
      <x:c r="E637" s="1" t="n">
        <x:v>789</x:v>
      </x:c>
    </x:row>
    <x:row r="638">
      <x:c r="A638" t="str">
        <x:v>MILPA ALTA</x:v>
      </x:c>
      <x:c r="B638" t="str">
        <x:v>San Pablo Oztotepec</x:v>
      </x:c>
      <x:c r="C638" t="str">
        <x:v>Mujer</x:v>
      </x:c>
      <x:c r="D638" t="str">
        <x:v>g) 30 a 34 años</x:v>
      </x:c>
      <x:c r="E638" s="1" t="n">
        <x:v>670</x:v>
      </x:c>
    </x:row>
    <x:row r="639">
      <x:c r="A639" t="str">
        <x:v>MILPA ALTA</x:v>
      </x:c>
      <x:c r="B639" t="str">
        <x:v>San Pablo Oztotepec</x:v>
      </x:c>
      <x:c r="C639" t="str">
        <x:v>Mujer</x:v>
      </x:c>
      <x:c r="D639" t="str">
        <x:v>h) 35 a 39 años</x:v>
      </x:c>
      <x:c r="E639" s="1" t="n">
        <x:v>678</x:v>
      </x:c>
    </x:row>
    <x:row r="640">
      <x:c r="A640" t="str">
        <x:v>MILPA ALTA</x:v>
      </x:c>
      <x:c r="B640" t="str">
        <x:v>San Pablo Oztotepec</x:v>
      </x:c>
      <x:c r="C640" t="str">
        <x:v>Mujer</x:v>
      </x:c>
      <x:c r="D640" t="str">
        <x:v>i) 40 a 44 años</x:v>
      </x:c>
      <x:c r="E640" s="1" t="n">
        <x:v>630</x:v>
      </x:c>
    </x:row>
    <x:row r="641">
      <x:c r="A641" t="str">
        <x:v>MILPA ALTA</x:v>
      </x:c>
      <x:c r="B641" t="str">
        <x:v>San Pablo Oztotepec</x:v>
      </x:c>
      <x:c r="C641" t="str">
        <x:v>Mujer</x:v>
      </x:c>
      <x:c r="D641" t="str">
        <x:v>j) 45 a 49 años</x:v>
      </x:c>
      <x:c r="E641" s="1" t="n">
        <x:v>586</x:v>
      </x:c>
    </x:row>
    <x:row r="642">
      <x:c r="A642" t="str">
        <x:v>MILPA ALTA</x:v>
      </x:c>
      <x:c r="B642" t="str">
        <x:v>San Pablo Oztotepec</x:v>
      </x:c>
      <x:c r="C642" t="str">
        <x:v>Mujer</x:v>
      </x:c>
      <x:c r="D642" t="str">
        <x:v>k) 50 a 54 años</x:v>
      </x:c>
      <x:c r="E642" s="1" t="n">
        <x:v>561</x:v>
      </x:c>
    </x:row>
    <x:row r="643">
      <x:c r="A643" t="str">
        <x:v>MILPA ALTA</x:v>
      </x:c>
      <x:c r="B643" t="str">
        <x:v>San Pablo Oztotepec</x:v>
      </x:c>
      <x:c r="C643" t="str">
        <x:v>Mujer</x:v>
      </x:c>
      <x:c r="D643" t="str">
        <x:v>l) 55 a 59 años</x:v>
      </x:c>
      <x:c r="E643" s="1" t="n">
        <x:v>450</x:v>
      </x:c>
    </x:row>
    <x:row r="644">
      <x:c r="A644" t="str">
        <x:v>MILPA ALTA</x:v>
      </x:c>
      <x:c r="B644" t="str">
        <x:v>San Pablo Oztotepec</x:v>
      </x:c>
      <x:c r="C644" t="str">
        <x:v>Mujer</x:v>
      </x:c>
      <x:c r="D644" t="str">
        <x:v>m) 60 a 64 años</x:v>
      </x:c>
      <x:c r="E644" s="1" t="n">
        <x:v>345</x:v>
      </x:c>
    </x:row>
    <x:row r="645">
      <x:c r="A645" t="str">
        <x:v>MILPA ALTA</x:v>
      </x:c>
      <x:c r="B645" t="str">
        <x:v>San Pablo Oztotepec</x:v>
      </x:c>
      <x:c r="C645" t="str">
        <x:v>Mujer</x:v>
      </x:c>
      <x:c r="D645" t="str">
        <x:v>n) 65 a 69 años</x:v>
      </x:c>
      <x:c r="E645" s="1" t="n">
        <x:v>248</x:v>
      </x:c>
    </x:row>
    <x:row r="646">
      <x:c r="A646" t="str">
        <x:v>MILPA ALTA</x:v>
      </x:c>
      <x:c r="B646" t="str">
        <x:v>San Pablo Oztotepec</x:v>
      </x:c>
      <x:c r="C646" t="str">
        <x:v>Mujer</x:v>
      </x:c>
      <x:c r="D646" t="str">
        <x:v>o) 70 a 74 años</x:v>
      </x:c>
      <x:c r="E646" s="1" t="n">
        <x:v>166</x:v>
      </x:c>
    </x:row>
    <x:row r="647">
      <x:c r="A647" t="str">
        <x:v>MILPA ALTA</x:v>
      </x:c>
      <x:c r="B647" t="str">
        <x:v>San Pablo Oztotepec</x:v>
      </x:c>
      <x:c r="C647" t="str">
        <x:v>Mujer</x:v>
      </x:c>
      <x:c r="D647" t="str">
        <x:v>p) 75 a 79 años</x:v>
      </x:c>
      <x:c r="E647" s="1" t="n">
        <x:v>122</x:v>
      </x:c>
    </x:row>
    <x:row r="648">
      <x:c r="A648" t="str">
        <x:v>MILPA ALTA</x:v>
      </x:c>
      <x:c r="B648" t="str">
        <x:v>San Pablo Oztotepec</x:v>
      </x:c>
      <x:c r="C648" t="str">
        <x:v>Mujer</x:v>
      </x:c>
      <x:c r="D648" t="str">
        <x:v>q) 80 a 84 años</x:v>
      </x:c>
      <x:c r="E648" s="1" t="n">
        <x:v>75</x:v>
      </x:c>
    </x:row>
    <x:row r="649">
      <x:c r="A649" t="str">
        <x:v>MILPA ALTA</x:v>
      </x:c>
      <x:c r="B649" t="str">
        <x:v>San Pablo Oztotepec</x:v>
      </x:c>
      <x:c r="C649" t="str">
        <x:v>Mujer</x:v>
      </x:c>
      <x:c r="D649" t="str">
        <x:v>r) 85 años y más</x:v>
      </x:c>
      <x:c r="E649" s="1" t="n">
        <x:v>61</x:v>
      </x:c>
    </x:row>
    <x:row r="650">
      <x:c r="A650" t="str">
        <x:v>MILPA ALTA</x:v>
      </x:c>
      <x:c r="B650" t="str">
        <x:v>San Pedro Atocpan</x:v>
      </x:c>
      <x:c r="C650" t="str">
        <x:v>Hombre</x:v>
      </x:c>
      <x:c r="D650" t="str">
        <x:v>a) 0 a 4 años</x:v>
      </x:c>
      <x:c r="E650" s="1" t="n">
        <x:v>317</x:v>
      </x:c>
    </x:row>
    <x:row r="651">
      <x:c r="A651" t="str">
        <x:v>MILPA ALTA</x:v>
      </x:c>
      <x:c r="B651" t="str">
        <x:v>San Pedro Atocpan</x:v>
      </x:c>
      <x:c r="C651" t="str">
        <x:v>Hombre</x:v>
      </x:c>
      <x:c r="D651" t="str">
        <x:v>b) 5 a 9 años</x:v>
      </x:c>
      <x:c r="E651" s="1" t="n">
        <x:v>369</x:v>
      </x:c>
    </x:row>
    <x:row r="652">
      <x:c r="A652" t="str">
        <x:v>MILPA ALTA</x:v>
      </x:c>
      <x:c r="B652" t="str">
        <x:v>San Pedro Atocpan</x:v>
      </x:c>
      <x:c r="C652" t="str">
        <x:v>Hombre</x:v>
      </x:c>
      <x:c r="D652" t="str">
        <x:v>c) 10 a 14 años</x:v>
      </x:c>
      <x:c r="E652" s="1" t="n">
        <x:v>366</x:v>
      </x:c>
    </x:row>
    <x:row r="653">
      <x:c r="A653" t="str">
        <x:v>MILPA ALTA</x:v>
      </x:c>
      <x:c r="B653" t="str">
        <x:v>San Pedro Atocpan</x:v>
      </x:c>
      <x:c r="C653" t="str">
        <x:v>Hombre</x:v>
      </x:c>
      <x:c r="D653" t="str">
        <x:v>d) 15 a 19 años</x:v>
      </x:c>
      <x:c r="E653" s="1" t="n">
        <x:v>422</x:v>
      </x:c>
    </x:row>
    <x:row r="654">
      <x:c r="A654" t="str">
        <x:v>MILPA ALTA</x:v>
      </x:c>
      <x:c r="B654" t="str">
        <x:v>San Pedro Atocpan</x:v>
      </x:c>
      <x:c r="C654" t="str">
        <x:v>Hombre</x:v>
      </x:c>
      <x:c r="D654" t="str">
        <x:v>e) 20 a 24 años</x:v>
      </x:c>
      <x:c r="E654" s="1" t="n">
        <x:v>380</x:v>
      </x:c>
    </x:row>
    <x:row r="655">
      <x:c r="A655" t="str">
        <x:v>MILPA ALTA</x:v>
      </x:c>
      <x:c r="B655" t="str">
        <x:v>San Pedro Atocpan</x:v>
      </x:c>
      <x:c r="C655" t="str">
        <x:v>Hombre</x:v>
      </x:c>
      <x:c r="D655" t="str">
        <x:v>f) 25 a 29 años</x:v>
      </x:c>
      <x:c r="E655" s="1" t="n">
        <x:v>427</x:v>
      </x:c>
    </x:row>
    <x:row r="656">
      <x:c r="A656" t="str">
        <x:v>MILPA ALTA</x:v>
      </x:c>
      <x:c r="B656" t="str">
        <x:v>San Pedro Atocpan</x:v>
      </x:c>
      <x:c r="C656" t="str">
        <x:v>Hombre</x:v>
      </x:c>
      <x:c r="D656" t="str">
        <x:v>g) 30 a 34 años</x:v>
      </x:c>
      <x:c r="E656" s="1" t="n">
        <x:v>363</x:v>
      </x:c>
    </x:row>
    <x:row r="657">
      <x:c r="A657" t="str">
        <x:v>MILPA ALTA</x:v>
      </x:c>
      <x:c r="B657" t="str">
        <x:v>San Pedro Atocpan</x:v>
      </x:c>
      <x:c r="C657" t="str">
        <x:v>Hombre</x:v>
      </x:c>
      <x:c r="D657" t="str">
        <x:v>h) 35 a 39 años</x:v>
      </x:c>
      <x:c r="E657" s="1" t="n">
        <x:v>322</x:v>
      </x:c>
    </x:row>
    <x:row r="658">
      <x:c r="A658" t="str">
        <x:v>MILPA ALTA</x:v>
      </x:c>
      <x:c r="B658" t="str">
        <x:v>San Pedro Atocpan</x:v>
      </x:c>
      <x:c r="C658" t="str">
        <x:v>Hombre</x:v>
      </x:c>
      <x:c r="D658" t="str">
        <x:v>i) 40 a 44 años</x:v>
      </x:c>
      <x:c r="E658" s="1" t="n">
        <x:v>284</x:v>
      </x:c>
    </x:row>
    <x:row r="659">
      <x:c r="A659" t="str">
        <x:v>MILPA ALTA</x:v>
      </x:c>
      <x:c r="B659" t="str">
        <x:v>San Pedro Atocpan</x:v>
      </x:c>
      <x:c r="C659" t="str">
        <x:v>Hombre</x:v>
      </x:c>
      <x:c r="D659" t="str">
        <x:v>j) 45 a 49 años</x:v>
      </x:c>
      <x:c r="E659" s="1" t="n">
        <x:v>285</x:v>
      </x:c>
    </x:row>
    <x:row r="660">
      <x:c r="A660" t="str">
        <x:v>MILPA ALTA</x:v>
      </x:c>
      <x:c r="B660" t="str">
        <x:v>San Pedro Atocpan</x:v>
      </x:c>
      <x:c r="C660" t="str">
        <x:v>Hombre</x:v>
      </x:c>
      <x:c r="D660" t="str">
        <x:v>k) 50 a 54 años</x:v>
      </x:c>
      <x:c r="E660" s="1" t="n">
        <x:v>238</x:v>
      </x:c>
    </x:row>
    <x:row r="661">
      <x:c r="A661" t="str">
        <x:v>MILPA ALTA</x:v>
      </x:c>
      <x:c r="B661" t="str">
        <x:v>San Pedro Atocpan</x:v>
      </x:c>
      <x:c r="C661" t="str">
        <x:v>Hombre</x:v>
      </x:c>
      <x:c r="D661" t="str">
        <x:v>l) 55 a 59 años</x:v>
      </x:c>
      <x:c r="E661" s="1" t="n">
        <x:v>221</x:v>
      </x:c>
    </x:row>
    <x:row r="662">
      <x:c r="A662" t="str">
        <x:v>MILPA ALTA</x:v>
      </x:c>
      <x:c r="B662" t="str">
        <x:v>San Pedro Atocpan</x:v>
      </x:c>
      <x:c r="C662" t="str">
        <x:v>Hombre</x:v>
      </x:c>
      <x:c r="D662" t="str">
        <x:v>m) 60 a 64 años</x:v>
      </x:c>
      <x:c r="E662" s="1" t="n">
        <x:v>215</x:v>
      </x:c>
    </x:row>
    <x:row r="663">
      <x:c r="A663" t="str">
        <x:v>MILPA ALTA</x:v>
      </x:c>
      <x:c r="B663" t="str">
        <x:v>San Pedro Atocpan</x:v>
      </x:c>
      <x:c r="C663" t="str">
        <x:v>Hombre</x:v>
      </x:c>
      <x:c r="D663" t="str">
        <x:v>n) 65 a 69 años</x:v>
      </x:c>
      <x:c r="E663" s="1" t="n">
        <x:v>129</x:v>
      </x:c>
    </x:row>
    <x:row r="664">
      <x:c r="A664" t="str">
        <x:v>MILPA ALTA</x:v>
      </x:c>
      <x:c r="B664" t="str">
        <x:v>San Pedro Atocpan</x:v>
      </x:c>
      <x:c r="C664" t="str">
        <x:v>Hombre</x:v>
      </x:c>
      <x:c r="D664" t="str">
        <x:v>o) 70 a 74 años</x:v>
      </x:c>
      <x:c r="E664" s="1" t="n">
        <x:v>84</x:v>
      </x:c>
    </x:row>
    <x:row r="665">
      <x:c r="A665" t="str">
        <x:v>MILPA ALTA</x:v>
      </x:c>
      <x:c r="B665" t="str">
        <x:v>San Pedro Atocpan</x:v>
      </x:c>
      <x:c r="C665" t="str">
        <x:v>Hombre</x:v>
      </x:c>
      <x:c r="D665" t="str">
        <x:v>p) 75 a 79 años</x:v>
      </x:c>
      <x:c r="E665" s="1" t="n">
        <x:v>56</x:v>
      </x:c>
    </x:row>
    <x:row r="666">
      <x:c r="A666" t="str">
        <x:v>MILPA ALTA</x:v>
      </x:c>
      <x:c r="B666" t="str">
        <x:v>San Pedro Atocpan</x:v>
      </x:c>
      <x:c r="C666" t="str">
        <x:v>Hombre</x:v>
      </x:c>
      <x:c r="D666" t="str">
        <x:v>q) 80 a 84 años</x:v>
      </x:c>
      <x:c r="E666" s="1" t="n">
        <x:v>37</x:v>
      </x:c>
    </x:row>
    <x:row r="667">
      <x:c r="A667" t="str">
        <x:v>MILPA ALTA</x:v>
      </x:c>
      <x:c r="B667" t="str">
        <x:v>San Pedro Atocpan</x:v>
      </x:c>
      <x:c r="C667" t="str">
        <x:v>Hombre</x:v>
      </x:c>
      <x:c r="D667" t="str">
        <x:v>r) 85 años y más</x:v>
      </x:c>
      <x:c r="E667" s="1" t="n">
        <x:v>14</x:v>
      </x:c>
    </x:row>
    <x:row r="668">
      <x:c r="A668" t="str">
        <x:v>MILPA ALTA</x:v>
      </x:c>
      <x:c r="B668" t="str">
        <x:v>San Pedro Atocpan</x:v>
      </x:c>
      <x:c r="C668" t="str">
        <x:v>Mujer</x:v>
      </x:c>
      <x:c r="D668" t="str">
        <x:v>a) 0 a 4 años</x:v>
      </x:c>
      <x:c r="E668" s="1" t="n">
        <x:v>319</x:v>
      </x:c>
    </x:row>
    <x:row r="669">
      <x:c r="A669" t="str">
        <x:v>MILPA ALTA</x:v>
      </x:c>
      <x:c r="B669" t="str">
        <x:v>San Pedro Atocpan</x:v>
      </x:c>
      <x:c r="C669" t="str">
        <x:v>Mujer</x:v>
      </x:c>
      <x:c r="D669" t="str">
        <x:v>b) 5 a 9 años</x:v>
      </x:c>
      <x:c r="E669" s="1" t="n">
        <x:v>370</x:v>
      </x:c>
    </x:row>
    <x:row r="670">
      <x:c r="A670" t="str">
        <x:v>MILPA ALTA</x:v>
      </x:c>
      <x:c r="B670" t="str">
        <x:v>San Pedro Atocpan</x:v>
      </x:c>
      <x:c r="C670" t="str">
        <x:v>Mujer</x:v>
      </x:c>
      <x:c r="D670" t="str">
        <x:v>c) 10 a 14 años</x:v>
      </x:c>
      <x:c r="E670" s="1" t="n">
        <x:v>354</x:v>
      </x:c>
    </x:row>
    <x:row r="671">
      <x:c r="A671" t="str">
        <x:v>MILPA ALTA</x:v>
      </x:c>
      <x:c r="B671" t="str">
        <x:v>San Pedro Atocpan</x:v>
      </x:c>
      <x:c r="C671" t="str">
        <x:v>Mujer</x:v>
      </x:c>
      <x:c r="D671" t="str">
        <x:v>d) 15 a 19 años</x:v>
      </x:c>
      <x:c r="E671" s="1" t="n">
        <x:v>367</x:v>
      </x:c>
    </x:row>
    <x:row r="672">
      <x:c r="A672" t="str">
        <x:v>MILPA ALTA</x:v>
      </x:c>
      <x:c r="B672" t="str">
        <x:v>San Pedro Atocpan</x:v>
      </x:c>
      <x:c r="C672" t="str">
        <x:v>Mujer</x:v>
      </x:c>
      <x:c r="D672" t="str">
        <x:v>e) 20 a 24 años</x:v>
      </x:c>
      <x:c r="E672" s="1" t="n">
        <x:v>400</x:v>
      </x:c>
    </x:row>
    <x:row r="673">
      <x:c r="A673" t="str">
        <x:v>MILPA ALTA</x:v>
      </x:c>
      <x:c r="B673" t="str">
        <x:v>San Pedro Atocpan</x:v>
      </x:c>
      <x:c r="C673" t="str">
        <x:v>Mujer</x:v>
      </x:c>
      <x:c r="D673" t="str">
        <x:v>f) 25 a 29 años</x:v>
      </x:c>
      <x:c r="E673" s="1" t="n">
        <x:v>408</x:v>
      </x:c>
    </x:row>
    <x:row r="674">
      <x:c r="A674" t="str">
        <x:v>MILPA ALTA</x:v>
      </x:c>
      <x:c r="B674" t="str">
        <x:v>San Pedro Atocpan</x:v>
      </x:c>
      <x:c r="C674" t="str">
        <x:v>Mujer</x:v>
      </x:c>
      <x:c r="D674" t="str">
        <x:v>g) 30 a 34 años</x:v>
      </x:c>
      <x:c r="E674" s="1" t="n">
        <x:v>375</x:v>
      </x:c>
    </x:row>
    <x:row r="675">
      <x:c r="A675" t="str">
        <x:v>MILPA ALTA</x:v>
      </x:c>
      <x:c r="B675" t="str">
        <x:v>San Pedro Atocpan</x:v>
      </x:c>
      <x:c r="C675" t="str">
        <x:v>Mujer</x:v>
      </x:c>
      <x:c r="D675" t="str">
        <x:v>h) 35 a 39 años</x:v>
      </x:c>
      <x:c r="E675" s="1" t="n">
        <x:v>372</x:v>
      </x:c>
    </x:row>
    <x:row r="676">
      <x:c r="A676" t="str">
        <x:v>MILPA ALTA</x:v>
      </x:c>
      <x:c r="B676" t="str">
        <x:v>San Pedro Atocpan</x:v>
      </x:c>
      <x:c r="C676" t="str">
        <x:v>Mujer</x:v>
      </x:c>
      <x:c r="D676" t="str">
        <x:v>i) 40 a 44 años</x:v>
      </x:c>
      <x:c r="E676" s="1" t="n">
        <x:v>285</x:v>
      </x:c>
    </x:row>
    <x:row r="677">
      <x:c r="A677" t="str">
        <x:v>MILPA ALTA</x:v>
      </x:c>
      <x:c r="B677" t="str">
        <x:v>San Pedro Atocpan</x:v>
      </x:c>
      <x:c r="C677" t="str">
        <x:v>Mujer</x:v>
      </x:c>
      <x:c r="D677" t="str">
        <x:v>j) 45 a 49 años</x:v>
      </x:c>
      <x:c r="E677" s="1" t="n">
        <x:v>297</x:v>
      </x:c>
    </x:row>
    <x:row r="678">
      <x:c r="A678" t="str">
        <x:v>MILPA ALTA</x:v>
      </x:c>
      <x:c r="B678" t="str">
        <x:v>San Pedro Atocpan</x:v>
      </x:c>
      <x:c r="C678" t="str">
        <x:v>Mujer</x:v>
      </x:c>
      <x:c r="D678" t="str">
        <x:v>k) 50 a 54 años</x:v>
      </x:c>
      <x:c r="E678" s="1" t="n">
        <x:v>294</x:v>
      </x:c>
    </x:row>
    <x:row r="679">
      <x:c r="A679" t="str">
        <x:v>MILPA ALTA</x:v>
      </x:c>
      <x:c r="B679" t="str">
        <x:v>San Pedro Atocpan</x:v>
      </x:c>
      <x:c r="C679" t="str">
        <x:v>Mujer</x:v>
      </x:c>
      <x:c r="D679" t="str">
        <x:v>l) 55 a 59 años</x:v>
      </x:c>
      <x:c r="E679" s="1" t="n">
        <x:v>244</x:v>
      </x:c>
    </x:row>
    <x:row r="680">
      <x:c r="A680" t="str">
        <x:v>MILPA ALTA</x:v>
      </x:c>
      <x:c r="B680" t="str">
        <x:v>San Pedro Atocpan</x:v>
      </x:c>
      <x:c r="C680" t="str">
        <x:v>Mujer</x:v>
      </x:c>
      <x:c r="D680" t="str">
        <x:v>m) 60 a 64 años</x:v>
      </x:c>
      <x:c r="E680" s="1" t="n">
        <x:v>213</x:v>
      </x:c>
    </x:row>
    <x:row r="681">
      <x:c r="A681" t="str">
        <x:v>MILPA ALTA</x:v>
      </x:c>
      <x:c r="B681" t="str">
        <x:v>San Pedro Atocpan</x:v>
      </x:c>
      <x:c r="C681" t="str">
        <x:v>Mujer</x:v>
      </x:c>
      <x:c r="D681" t="str">
        <x:v>n) 65 a 69 años</x:v>
      </x:c>
      <x:c r="E681" s="1" t="n">
        <x:v>125</x:v>
      </x:c>
    </x:row>
    <x:row r="682">
      <x:c r="A682" t="str">
        <x:v>MILPA ALTA</x:v>
      </x:c>
      <x:c r="B682" t="str">
        <x:v>San Pedro Atocpan</x:v>
      </x:c>
      <x:c r="C682" t="str">
        <x:v>Mujer</x:v>
      </x:c>
      <x:c r="D682" t="str">
        <x:v>o) 70 a 74 años</x:v>
      </x:c>
      <x:c r="E682" s="1" t="n">
        <x:v>129</x:v>
      </x:c>
    </x:row>
    <x:row r="683">
      <x:c r="A683" t="str">
        <x:v>MILPA ALTA</x:v>
      </x:c>
      <x:c r="B683" t="str">
        <x:v>San Pedro Atocpan</x:v>
      </x:c>
      <x:c r="C683" t="str">
        <x:v>Mujer</x:v>
      </x:c>
      <x:c r="D683" t="str">
        <x:v>p) 75 a 79 años</x:v>
      </x:c>
      <x:c r="E683" s="1" t="n">
        <x:v>70</x:v>
      </x:c>
    </x:row>
    <x:row r="684">
      <x:c r="A684" t="str">
        <x:v>MILPA ALTA</x:v>
      </x:c>
      <x:c r="B684" t="str">
        <x:v>San Pedro Atocpan</x:v>
      </x:c>
      <x:c r="C684" t="str">
        <x:v>Mujer</x:v>
      </x:c>
      <x:c r="D684" t="str">
        <x:v>q) 80 a 84 años</x:v>
      </x:c>
      <x:c r="E684" s="1" t="n">
        <x:v>45</x:v>
      </x:c>
    </x:row>
    <x:row r="685">
      <x:c r="A685" t="str">
        <x:v>MILPA ALTA</x:v>
      </x:c>
      <x:c r="B685" t="str">
        <x:v>San Pedro Atocpan</x:v>
      </x:c>
      <x:c r="C685" t="str">
        <x:v>Mujer</x:v>
      </x:c>
      <x:c r="D685" t="str">
        <x:v>r) 85 años y más</x:v>
      </x:c>
      <x:c r="E685" s="1" t="n">
        <x:v>38</x:v>
      </x:c>
    </x:row>
    <x:row r="686">
      <x:c r="A686" t="str">
        <x:v>MILPA ALTA</x:v>
      </x:c>
      <x:c r="B686" t="str">
        <x:v>San Salvador Cuauhtenco</x:v>
      </x:c>
      <x:c r="C686" t="str">
        <x:v>Hombre</x:v>
      </x:c>
      <x:c r="D686" t="str">
        <x:v>a) 0 a 4 años</x:v>
      </x:c>
      <x:c r="E686" s="1" t="n">
        <x:v>583</x:v>
      </x:c>
    </x:row>
    <x:row r="687">
      <x:c r="A687" t="str">
        <x:v>MILPA ALTA</x:v>
      </x:c>
      <x:c r="B687" t="str">
        <x:v>San Salvador Cuauhtenco</x:v>
      </x:c>
      <x:c r="C687" t="str">
        <x:v>Hombre</x:v>
      </x:c>
      <x:c r="D687" t="str">
        <x:v>b) 5 a 9 años</x:v>
      </x:c>
      <x:c r="E687" s="1" t="n">
        <x:v>717</x:v>
      </x:c>
    </x:row>
    <x:row r="688">
      <x:c r="A688" t="str">
        <x:v>MILPA ALTA</x:v>
      </x:c>
      <x:c r="B688" t="str">
        <x:v>San Salvador Cuauhtenco</x:v>
      </x:c>
      <x:c r="C688" t="str">
        <x:v>Hombre</x:v>
      </x:c>
      <x:c r="D688" t="str">
        <x:v>c) 10 a 14 años</x:v>
      </x:c>
      <x:c r="E688" s="1" t="n">
        <x:v>747</x:v>
      </x:c>
    </x:row>
    <x:row r="689">
      <x:c r="A689" t="str">
        <x:v>MILPA ALTA</x:v>
      </x:c>
      <x:c r="B689" t="str">
        <x:v>San Salvador Cuauhtenco</x:v>
      </x:c>
      <x:c r="C689" t="str">
        <x:v>Hombre</x:v>
      </x:c>
      <x:c r="D689" t="str">
        <x:v>d) 15 a 19 años</x:v>
      </x:c>
      <x:c r="E689" s="1" t="n">
        <x:v>781</x:v>
      </x:c>
    </x:row>
    <x:row r="690">
      <x:c r="A690" t="str">
        <x:v>MILPA ALTA</x:v>
      </x:c>
      <x:c r="B690" t="str">
        <x:v>San Salvador Cuauhtenco</x:v>
      </x:c>
      <x:c r="C690" t="str">
        <x:v>Hombre</x:v>
      </x:c>
      <x:c r="D690" t="str">
        <x:v>e) 20 a 24 años</x:v>
      </x:c>
      <x:c r="E690" s="1" t="n">
        <x:v>794</x:v>
      </x:c>
    </x:row>
    <x:row r="691">
      <x:c r="A691" t="str">
        <x:v>MILPA ALTA</x:v>
      </x:c>
      <x:c r="B691" t="str">
        <x:v>San Salvador Cuauhtenco</x:v>
      </x:c>
      <x:c r="C691" t="str">
        <x:v>Hombre</x:v>
      </x:c>
      <x:c r="D691" t="str">
        <x:v>f) 25 a 29 años</x:v>
      </x:c>
      <x:c r="E691" s="1" t="n">
        <x:v>744</x:v>
      </x:c>
    </x:row>
    <x:row r="692">
      <x:c r="A692" t="str">
        <x:v>MILPA ALTA</x:v>
      </x:c>
      <x:c r="B692" t="str">
        <x:v>San Salvador Cuauhtenco</x:v>
      </x:c>
      <x:c r="C692" t="str">
        <x:v>Hombre</x:v>
      </x:c>
      <x:c r="D692" t="str">
        <x:v>g) 30 a 34 años</x:v>
      </x:c>
      <x:c r="E692" s="1" t="n">
        <x:v>596</x:v>
      </x:c>
    </x:row>
    <x:row r="693">
      <x:c r="A693" t="str">
        <x:v>MILPA ALTA</x:v>
      </x:c>
      <x:c r="B693" t="str">
        <x:v>San Salvador Cuauhtenco</x:v>
      </x:c>
      <x:c r="C693" t="str">
        <x:v>Hombre</x:v>
      </x:c>
      <x:c r="D693" t="str">
        <x:v>h) 35 a 39 años</x:v>
      </x:c>
      <x:c r="E693" s="1" t="n">
        <x:v>515</x:v>
      </x:c>
    </x:row>
    <x:row r="694">
      <x:c r="A694" t="str">
        <x:v>MILPA ALTA</x:v>
      </x:c>
      <x:c r="B694" t="str">
        <x:v>San Salvador Cuauhtenco</x:v>
      </x:c>
      <x:c r="C694" t="str">
        <x:v>Hombre</x:v>
      </x:c>
      <x:c r="D694" t="str">
        <x:v>i) 40 a 44 años</x:v>
      </x:c>
      <x:c r="E694" s="1" t="n">
        <x:v>499</x:v>
      </x:c>
    </x:row>
    <x:row r="695">
      <x:c r="A695" t="str">
        <x:v>MILPA ALTA</x:v>
      </x:c>
      <x:c r="B695" t="str">
        <x:v>San Salvador Cuauhtenco</x:v>
      </x:c>
      <x:c r="C695" t="str">
        <x:v>Hombre</x:v>
      </x:c>
      <x:c r="D695" t="str">
        <x:v>j) 45 a 49 años</x:v>
      </x:c>
      <x:c r="E695" s="1" t="n">
        <x:v>552</x:v>
      </x:c>
    </x:row>
    <x:row r="696">
      <x:c r="A696" t="str">
        <x:v>MILPA ALTA</x:v>
      </x:c>
      <x:c r="B696" t="str">
        <x:v>San Salvador Cuauhtenco</x:v>
      </x:c>
      <x:c r="C696" t="str">
        <x:v>Hombre</x:v>
      </x:c>
      <x:c r="D696" t="str">
        <x:v>k) 50 a 54 años</x:v>
      </x:c>
      <x:c r="E696" s="1" t="n">
        <x:v>477</x:v>
      </x:c>
    </x:row>
    <x:row r="697">
      <x:c r="A697" t="str">
        <x:v>MILPA ALTA</x:v>
      </x:c>
      <x:c r="B697" t="str">
        <x:v>San Salvador Cuauhtenco</x:v>
      </x:c>
      <x:c r="C697" t="str">
        <x:v>Hombre</x:v>
      </x:c>
      <x:c r="D697" t="str">
        <x:v>l) 55 a 59 años</x:v>
      </x:c>
      <x:c r="E697" s="1" t="n">
        <x:v>410</x:v>
      </x:c>
    </x:row>
    <x:row r="698">
      <x:c r="A698" t="str">
        <x:v>MILPA ALTA</x:v>
      </x:c>
      <x:c r="B698" t="str">
        <x:v>San Salvador Cuauhtenco</x:v>
      </x:c>
      <x:c r="C698" t="str">
        <x:v>Hombre</x:v>
      </x:c>
      <x:c r="D698" t="str">
        <x:v>m) 60 a 64 años</x:v>
      </x:c>
      <x:c r="E698" s="1" t="n">
        <x:v>295</x:v>
      </x:c>
    </x:row>
    <x:row r="699">
      <x:c r="A699" t="str">
        <x:v>MILPA ALTA</x:v>
      </x:c>
      <x:c r="B699" t="str">
        <x:v>San Salvador Cuauhtenco</x:v>
      </x:c>
      <x:c r="C699" t="str">
        <x:v>Hombre</x:v>
      </x:c>
      <x:c r="D699" t="str">
        <x:v>n) 65 a 69 años</x:v>
      </x:c>
      <x:c r="E699" s="1" t="n">
        <x:v>209</x:v>
      </x:c>
    </x:row>
    <x:row r="700">
      <x:c r="A700" t="str">
        <x:v>MILPA ALTA</x:v>
      </x:c>
      <x:c r="B700" t="str">
        <x:v>San Salvador Cuauhtenco</x:v>
      </x:c>
      <x:c r="C700" t="str">
        <x:v>Hombre</x:v>
      </x:c>
      <x:c r="D700" t="str">
        <x:v>o) 70 a 74 años</x:v>
      </x:c>
      <x:c r="E700" s="1" t="n">
        <x:v>109</x:v>
      </x:c>
    </x:row>
    <x:row r="701">
      <x:c r="A701" t="str">
        <x:v>MILPA ALTA</x:v>
      </x:c>
      <x:c r="B701" t="str">
        <x:v>San Salvador Cuauhtenco</x:v>
      </x:c>
      <x:c r="C701" t="str">
        <x:v>Hombre</x:v>
      </x:c>
      <x:c r="D701" t="str">
        <x:v>p) 75 a 79 años</x:v>
      </x:c>
      <x:c r="E701" s="1" t="n">
        <x:v>84</x:v>
      </x:c>
    </x:row>
    <x:row r="702">
      <x:c r="A702" t="str">
        <x:v>MILPA ALTA</x:v>
      </x:c>
      <x:c r="B702" t="str">
        <x:v>San Salvador Cuauhtenco</x:v>
      </x:c>
      <x:c r="C702" t="str">
        <x:v>Hombre</x:v>
      </x:c>
      <x:c r="D702" t="str">
        <x:v>q) 80 a 84 años</x:v>
      </x:c>
      <x:c r="E702" s="1" t="n">
        <x:v>36</x:v>
      </x:c>
    </x:row>
    <x:row r="703">
      <x:c r="A703" t="str">
        <x:v>MILPA ALTA</x:v>
      </x:c>
      <x:c r="B703" t="str">
        <x:v>San Salvador Cuauhtenco</x:v>
      </x:c>
      <x:c r="C703" t="str">
        <x:v>Hombre</x:v>
      </x:c>
      <x:c r="D703" t="str">
        <x:v>r) 85 años y más</x:v>
      </x:c>
      <x:c r="E703" s="1" t="n">
        <x:v>30</x:v>
      </x:c>
    </x:row>
    <x:row r="704">
      <x:c r="A704" t="str">
        <x:v>MILPA ALTA</x:v>
      </x:c>
      <x:c r="B704" t="str">
        <x:v>San Salvador Cuauhtenco</x:v>
      </x:c>
      <x:c r="C704" t="str">
        <x:v>Mujer</x:v>
      </x:c>
      <x:c r="D704" t="str">
        <x:v>a) 0 a 4 años</x:v>
      </x:c>
      <x:c r="E704" s="1" t="n">
        <x:v>558</x:v>
      </x:c>
    </x:row>
    <x:row r="705">
      <x:c r="A705" t="str">
        <x:v>MILPA ALTA</x:v>
      </x:c>
      <x:c r="B705" t="str">
        <x:v>San Salvador Cuauhtenco</x:v>
      </x:c>
      <x:c r="C705" t="str">
        <x:v>Mujer</x:v>
      </x:c>
      <x:c r="D705" t="str">
        <x:v>b) 5 a 9 años</x:v>
      </x:c>
      <x:c r="E705" s="1" t="n">
        <x:v>714</x:v>
      </x:c>
    </x:row>
    <x:row r="706">
      <x:c r="A706" t="str">
        <x:v>MILPA ALTA</x:v>
      </x:c>
      <x:c r="B706" t="str">
        <x:v>San Salvador Cuauhtenco</x:v>
      </x:c>
      <x:c r="C706" t="str">
        <x:v>Mujer</x:v>
      </x:c>
      <x:c r="D706" t="str">
        <x:v>c) 10 a 14 años</x:v>
      </x:c>
      <x:c r="E706" s="1" t="n">
        <x:v>702</x:v>
      </x:c>
    </x:row>
    <x:row r="707">
      <x:c r="A707" t="str">
        <x:v>MILPA ALTA</x:v>
      </x:c>
      <x:c r="B707" t="str">
        <x:v>San Salvador Cuauhtenco</x:v>
      </x:c>
      <x:c r="C707" t="str">
        <x:v>Mujer</x:v>
      </x:c>
      <x:c r="D707" t="str">
        <x:v>d) 15 a 19 años</x:v>
      </x:c>
      <x:c r="E707" s="1" t="n">
        <x:v>759</x:v>
      </x:c>
    </x:row>
    <x:row r="708">
      <x:c r="A708" t="str">
        <x:v>MILPA ALTA</x:v>
      </x:c>
      <x:c r="B708" t="str">
        <x:v>San Salvador Cuauhtenco</x:v>
      </x:c>
      <x:c r="C708" t="str">
        <x:v>Mujer</x:v>
      </x:c>
      <x:c r="D708" t="str">
        <x:v>e) 20 a 24 años</x:v>
      </x:c>
      <x:c r="E708" s="1" t="n">
        <x:v>810</x:v>
      </x:c>
    </x:row>
    <x:row r="709">
      <x:c r="A709" t="str">
        <x:v>MILPA ALTA</x:v>
      </x:c>
      <x:c r="B709" t="str">
        <x:v>San Salvador Cuauhtenco</x:v>
      </x:c>
      <x:c r="C709" t="str">
        <x:v>Mujer</x:v>
      </x:c>
      <x:c r="D709" t="str">
        <x:v>f) 25 a 29 años</x:v>
      </x:c>
      <x:c r="E709" s="1" t="n">
        <x:v>761</x:v>
      </x:c>
    </x:row>
    <x:row r="710">
      <x:c r="A710" t="str">
        <x:v>MILPA ALTA</x:v>
      </x:c>
      <x:c r="B710" t="str">
        <x:v>San Salvador Cuauhtenco</x:v>
      </x:c>
      <x:c r="C710" t="str">
        <x:v>Mujer</x:v>
      </x:c>
      <x:c r="D710" t="str">
        <x:v>g) 30 a 34 años</x:v>
      </x:c>
      <x:c r="E710" s="1" t="n">
        <x:v>677</x:v>
      </x:c>
    </x:row>
    <x:row r="711">
      <x:c r="A711" t="str">
        <x:v>MILPA ALTA</x:v>
      </x:c>
      <x:c r="B711" t="str">
        <x:v>San Salvador Cuauhtenco</x:v>
      </x:c>
      <x:c r="C711" t="str">
        <x:v>Mujer</x:v>
      </x:c>
      <x:c r="D711" t="str">
        <x:v>h) 35 a 39 años</x:v>
      </x:c>
      <x:c r="E711" s="1" t="n">
        <x:v>590</x:v>
      </x:c>
    </x:row>
    <x:row r="712">
      <x:c r="A712" t="str">
        <x:v>MILPA ALTA</x:v>
      </x:c>
      <x:c r="B712" t="str">
        <x:v>San Salvador Cuauhtenco</x:v>
      </x:c>
      <x:c r="C712" t="str">
        <x:v>Mujer</x:v>
      </x:c>
      <x:c r="D712" t="str">
        <x:v>i) 40 a 44 años</x:v>
      </x:c>
      <x:c r="E712" s="1" t="n">
        <x:v>608</x:v>
      </x:c>
    </x:row>
    <x:row r="713">
      <x:c r="A713" t="str">
        <x:v>MILPA ALTA</x:v>
      </x:c>
      <x:c r="B713" t="str">
        <x:v>San Salvador Cuauhtenco</x:v>
      </x:c>
      <x:c r="C713" t="str">
        <x:v>Mujer</x:v>
      </x:c>
      <x:c r="D713" t="str">
        <x:v>j) 45 a 49 años</x:v>
      </x:c>
      <x:c r="E713" s="1" t="n">
        <x:v>581</x:v>
      </x:c>
    </x:row>
    <x:row r="714">
      <x:c r="A714" t="str">
        <x:v>MILPA ALTA</x:v>
      </x:c>
      <x:c r="B714" t="str">
        <x:v>San Salvador Cuauhtenco</x:v>
      </x:c>
      <x:c r="C714" t="str">
        <x:v>Mujer</x:v>
      </x:c>
      <x:c r="D714" t="str">
        <x:v>k) 50 a 54 años</x:v>
      </x:c>
      <x:c r="E714" s="1" t="n">
        <x:v>579</x:v>
      </x:c>
    </x:row>
    <x:row r="715">
      <x:c r="A715" t="str">
        <x:v>MILPA ALTA</x:v>
      </x:c>
      <x:c r="B715" t="str">
        <x:v>San Salvador Cuauhtenco</x:v>
      </x:c>
      <x:c r="C715" t="str">
        <x:v>Mujer</x:v>
      </x:c>
      <x:c r="D715" t="str">
        <x:v>l) 55 a 59 años</x:v>
      </x:c>
      <x:c r="E715" s="1" t="n">
        <x:v>448</x:v>
      </x:c>
    </x:row>
    <x:row r="716">
      <x:c r="A716" t="str">
        <x:v>MILPA ALTA</x:v>
      </x:c>
      <x:c r="B716" t="str">
        <x:v>San Salvador Cuauhtenco</x:v>
      </x:c>
      <x:c r="C716" t="str">
        <x:v>Mujer</x:v>
      </x:c>
      <x:c r="D716" t="str">
        <x:v>m) 60 a 64 años</x:v>
      </x:c>
      <x:c r="E716" s="1" t="n">
        <x:v>311</x:v>
      </x:c>
    </x:row>
    <x:row r="717">
      <x:c r="A717" t="str">
        <x:v>MILPA ALTA</x:v>
      </x:c>
      <x:c r="B717" t="str">
        <x:v>San Salvador Cuauhtenco</x:v>
      </x:c>
      <x:c r="C717" t="str">
        <x:v>Mujer</x:v>
      </x:c>
      <x:c r="D717" t="str">
        <x:v>n) 65 a 69 años</x:v>
      </x:c>
      <x:c r="E717" s="1" t="n">
        <x:v>210</x:v>
      </x:c>
    </x:row>
    <x:row r="718">
      <x:c r="A718" t="str">
        <x:v>MILPA ALTA</x:v>
      </x:c>
      <x:c r="B718" t="str">
        <x:v>San Salvador Cuauhtenco</x:v>
      </x:c>
      <x:c r="C718" t="str">
        <x:v>Mujer</x:v>
      </x:c>
      <x:c r="D718" t="str">
        <x:v>o) 70 a 74 años</x:v>
      </x:c>
      <x:c r="E718" s="1" t="n">
        <x:v>161</x:v>
      </x:c>
    </x:row>
    <x:row r="719">
      <x:c r="A719" t="str">
        <x:v>MILPA ALTA</x:v>
      </x:c>
      <x:c r="B719" t="str">
        <x:v>San Salvador Cuauhtenco</x:v>
      </x:c>
      <x:c r="C719" t="str">
        <x:v>Mujer</x:v>
      </x:c>
      <x:c r="D719" t="str">
        <x:v>p) 75 a 79 años</x:v>
      </x:c>
      <x:c r="E719" s="1" t="n">
        <x:v>85</x:v>
      </x:c>
    </x:row>
    <x:row r="720">
      <x:c r="A720" t="str">
        <x:v>MILPA ALTA</x:v>
      </x:c>
      <x:c r="B720" t="str">
        <x:v>San Salvador Cuauhtenco</x:v>
      </x:c>
      <x:c r="C720" t="str">
        <x:v>Mujer</x:v>
      </x:c>
      <x:c r="D720" t="str">
        <x:v>q) 80 a 84 años</x:v>
      </x:c>
      <x:c r="E720" s="1" t="n">
        <x:v>53</x:v>
      </x:c>
    </x:row>
    <x:row r="721">
      <x:c r="A721" t="str">
        <x:v>MILPA ALTA</x:v>
      </x:c>
      <x:c r="B721" t="str">
        <x:v>San Salvador Cuauhtenco</x:v>
      </x:c>
      <x:c r="C721" t="str">
        <x:v>Mujer</x:v>
      </x:c>
      <x:c r="D721" t="str">
        <x:v>r) 85 años y más</x:v>
      </x:c>
      <x:c r="E721" s="1" t="n">
        <x:v>55</x:v>
      </x:c>
    </x:row>
    <x:row r="722">
      <x:c r="A722" t="str">
        <x:v>MILPA ALTA</x:v>
      </x:c>
      <x:c r="B722" t="str">
        <x:v>Santa Ana Tlacotenco</x:v>
      </x:c>
      <x:c r="C722" t="str">
        <x:v>Hombre</x:v>
      </x:c>
      <x:c r="D722" t="str">
        <x:v>a) 0 a 4 años</x:v>
      </x:c>
      <x:c r="E722" s="1" t="n">
        <x:v>332</x:v>
      </x:c>
    </x:row>
    <x:row r="723">
      <x:c r="A723" t="str">
        <x:v>MILPA ALTA</x:v>
      </x:c>
      <x:c r="B723" t="str">
        <x:v>Santa Ana Tlacotenco</x:v>
      </x:c>
      <x:c r="C723" t="str">
        <x:v>Hombre</x:v>
      </x:c>
      <x:c r="D723" t="str">
        <x:v>b) 5 a 9 años</x:v>
      </x:c>
      <x:c r="E723" s="1" t="n">
        <x:v>462</x:v>
      </x:c>
    </x:row>
    <x:row r="724">
      <x:c r="A724" t="str">
        <x:v>MILPA ALTA</x:v>
      </x:c>
      <x:c r="B724" t="str">
        <x:v>Santa Ana Tlacotenco</x:v>
      </x:c>
      <x:c r="C724" t="str">
        <x:v>Hombre</x:v>
      </x:c>
      <x:c r="D724" t="str">
        <x:v>c) 10 a 14 años</x:v>
      </x:c>
      <x:c r="E724" s="1" t="n">
        <x:v>555</x:v>
      </x:c>
    </x:row>
    <x:row r="725">
      <x:c r="A725" t="str">
        <x:v>MILPA ALTA</x:v>
      </x:c>
      <x:c r="B725" t="str">
        <x:v>Santa Ana Tlacotenco</x:v>
      </x:c>
      <x:c r="C725" t="str">
        <x:v>Hombre</x:v>
      </x:c>
      <x:c r="D725" t="str">
        <x:v>d) 15 a 19 años</x:v>
      </x:c>
      <x:c r="E725" s="1" t="n">
        <x:v>496</x:v>
      </x:c>
    </x:row>
    <x:row r="726">
      <x:c r="A726" t="str">
        <x:v>MILPA ALTA</x:v>
      </x:c>
      <x:c r="B726" t="str">
        <x:v>Santa Ana Tlacotenco</x:v>
      </x:c>
      <x:c r="C726" t="str">
        <x:v>Hombre</x:v>
      </x:c>
      <x:c r="D726" t="str">
        <x:v>e) 20 a 24 años</x:v>
      </x:c>
      <x:c r="E726" s="1" t="n">
        <x:v>473</x:v>
      </x:c>
    </x:row>
    <x:row r="727">
      <x:c r="A727" t="str">
        <x:v>MILPA ALTA</x:v>
      </x:c>
      <x:c r="B727" t="str">
        <x:v>Santa Ana Tlacotenco</x:v>
      </x:c>
      <x:c r="C727" t="str">
        <x:v>Hombre</x:v>
      </x:c>
      <x:c r="D727" t="str">
        <x:v>f) 25 a 29 años</x:v>
      </x:c>
      <x:c r="E727" s="1" t="n">
        <x:v>487</x:v>
      </x:c>
    </x:row>
    <x:row r="728">
      <x:c r="A728" t="str">
        <x:v>MILPA ALTA</x:v>
      </x:c>
      <x:c r="B728" t="str">
        <x:v>Santa Ana Tlacotenco</x:v>
      </x:c>
      <x:c r="C728" t="str">
        <x:v>Hombre</x:v>
      </x:c>
      <x:c r="D728" t="str">
        <x:v>g) 30 a 34 años</x:v>
      </x:c>
      <x:c r="E728" s="1" t="n">
        <x:v>381</x:v>
      </x:c>
    </x:row>
    <x:row r="729">
      <x:c r="A729" t="str">
        <x:v>MILPA ALTA</x:v>
      </x:c>
      <x:c r="B729" t="str">
        <x:v>Santa Ana Tlacotenco</x:v>
      </x:c>
      <x:c r="C729" t="str">
        <x:v>Hombre</x:v>
      </x:c>
      <x:c r="D729" t="str">
        <x:v>h) 35 a 39 años</x:v>
      </x:c>
      <x:c r="E729" s="1" t="n">
        <x:v>408</x:v>
      </x:c>
    </x:row>
    <x:row r="730">
      <x:c r="A730" t="str">
        <x:v>MILPA ALTA</x:v>
      </x:c>
      <x:c r="B730" t="str">
        <x:v>Santa Ana Tlacotenco</x:v>
      </x:c>
      <x:c r="C730" t="str">
        <x:v>Hombre</x:v>
      </x:c>
      <x:c r="D730" t="str">
        <x:v>i) 40 a 44 años</x:v>
      </x:c>
      <x:c r="E730" s="1" t="n">
        <x:v>384</x:v>
      </x:c>
    </x:row>
    <x:row r="731">
      <x:c r="A731" t="str">
        <x:v>MILPA ALTA</x:v>
      </x:c>
      <x:c r="B731" t="str">
        <x:v>Santa Ana Tlacotenco</x:v>
      </x:c>
      <x:c r="C731" t="str">
        <x:v>Hombre</x:v>
      </x:c>
      <x:c r="D731" t="str">
        <x:v>j) 45 a 49 años</x:v>
      </x:c>
      <x:c r="E731" s="1" t="n">
        <x:v>355</x:v>
      </x:c>
    </x:row>
    <x:row r="732">
      <x:c r="A732" t="str">
        <x:v>MILPA ALTA</x:v>
      </x:c>
      <x:c r="B732" t="str">
        <x:v>Santa Ana Tlacotenco</x:v>
      </x:c>
      <x:c r="C732" t="str">
        <x:v>Hombre</x:v>
      </x:c>
      <x:c r="D732" t="str">
        <x:v>k) 50 a 54 años</x:v>
      </x:c>
      <x:c r="E732" s="1" t="n">
        <x:v>321</x:v>
      </x:c>
    </x:row>
    <x:row r="733">
      <x:c r="A733" t="str">
        <x:v>MILPA ALTA</x:v>
      </x:c>
      <x:c r="B733" t="str">
        <x:v>Santa Ana Tlacotenco</x:v>
      </x:c>
      <x:c r="C733" t="str">
        <x:v>Hombre</x:v>
      </x:c>
      <x:c r="D733" t="str">
        <x:v>l) 55 a 59 años</x:v>
      </x:c>
      <x:c r="E733" s="1" t="n">
        <x:v>266</x:v>
      </x:c>
    </x:row>
    <x:row r="734">
      <x:c r="A734" t="str">
        <x:v>MILPA ALTA</x:v>
      </x:c>
      <x:c r="B734" t="str">
        <x:v>Santa Ana Tlacotenco</x:v>
      </x:c>
      <x:c r="C734" t="str">
        <x:v>Hombre</x:v>
      </x:c>
      <x:c r="D734" t="str">
        <x:v>m) 60 a 64 años</x:v>
      </x:c>
      <x:c r="E734" s="1" t="n">
        <x:v>223</x:v>
      </x:c>
    </x:row>
    <x:row r="735">
      <x:c r="A735" t="str">
        <x:v>MILPA ALTA</x:v>
      </x:c>
      <x:c r="B735" t="str">
        <x:v>Santa Ana Tlacotenco</x:v>
      </x:c>
      <x:c r="C735" t="str">
        <x:v>Hombre</x:v>
      </x:c>
      <x:c r="D735" t="str">
        <x:v>n) 65 a 69 años</x:v>
      </x:c>
      <x:c r="E735" s="1" t="n">
        <x:v>151</x:v>
      </x:c>
    </x:row>
    <x:row r="736">
      <x:c r="A736" t="str">
        <x:v>MILPA ALTA</x:v>
      </x:c>
      <x:c r="B736" t="str">
        <x:v>Santa Ana Tlacotenco</x:v>
      </x:c>
      <x:c r="C736" t="str">
        <x:v>Hombre</x:v>
      </x:c>
      <x:c r="D736" t="str">
        <x:v>o) 70 a 74 años</x:v>
      </x:c>
      <x:c r="E736" s="1" t="n">
        <x:v>123</x:v>
      </x:c>
    </x:row>
    <x:row r="737">
      <x:c r="A737" t="str">
        <x:v>MILPA ALTA</x:v>
      </x:c>
      <x:c r="B737" t="str">
        <x:v>Santa Ana Tlacotenco</x:v>
      </x:c>
      <x:c r="C737" t="str">
        <x:v>Hombre</x:v>
      </x:c>
      <x:c r="D737" t="str">
        <x:v>p) 75 a 79 años</x:v>
      </x:c>
      <x:c r="E737" s="1" t="n">
        <x:v>85</x:v>
      </x:c>
    </x:row>
    <x:row r="738">
      <x:c r="A738" t="str">
        <x:v>MILPA ALTA</x:v>
      </x:c>
      <x:c r="B738" t="str">
        <x:v>Santa Ana Tlacotenco</x:v>
      </x:c>
      <x:c r="C738" t="str">
        <x:v>Hombre</x:v>
      </x:c>
      <x:c r="D738" t="str">
        <x:v>q) 80 a 84 años</x:v>
      </x:c>
      <x:c r="E738" s="1" t="n">
        <x:v>50</x:v>
      </x:c>
    </x:row>
    <x:row r="739">
      <x:c r="A739" t="str">
        <x:v>MILPA ALTA</x:v>
      </x:c>
      <x:c r="B739" t="str">
        <x:v>Santa Ana Tlacotenco</x:v>
      </x:c>
      <x:c r="C739" t="str">
        <x:v>Hombre</x:v>
      </x:c>
      <x:c r="D739" t="str">
        <x:v>r) 85 años y más</x:v>
      </x:c>
      <x:c r="E739" s="1" t="n">
        <x:v>37</x:v>
      </x:c>
    </x:row>
    <x:row r="740">
      <x:c r="A740" t="str">
        <x:v>MILPA ALTA</x:v>
      </x:c>
      <x:c r="B740" t="str">
        <x:v>Santa Ana Tlacotenco</x:v>
      </x:c>
      <x:c r="C740" t="str">
        <x:v>Mujer</x:v>
      </x:c>
      <x:c r="D740" t="str">
        <x:v>a) 0 a 4 años</x:v>
      </x:c>
      <x:c r="E740" s="1" t="n">
        <x:v>417</x:v>
      </x:c>
    </x:row>
    <x:row r="741">
      <x:c r="A741" t="str">
        <x:v>MILPA ALTA</x:v>
      </x:c>
      <x:c r="B741" t="str">
        <x:v>Santa Ana Tlacotenco</x:v>
      </x:c>
      <x:c r="C741" t="str">
        <x:v>Mujer</x:v>
      </x:c>
      <x:c r="D741" t="str">
        <x:v>b) 5 a 9 años</x:v>
      </x:c>
      <x:c r="E741" s="1" t="n">
        <x:v>429</x:v>
      </x:c>
    </x:row>
    <x:row r="742">
      <x:c r="A742" t="str">
        <x:v>MILPA ALTA</x:v>
      </x:c>
      <x:c r="B742" t="str">
        <x:v>Santa Ana Tlacotenco</x:v>
      </x:c>
      <x:c r="C742" t="str">
        <x:v>Mujer</x:v>
      </x:c>
      <x:c r="D742" t="str">
        <x:v>c) 10 a 14 años</x:v>
      </x:c>
      <x:c r="E742" s="1" t="n">
        <x:v>498</x:v>
      </x:c>
    </x:row>
    <x:row r="743">
      <x:c r="A743" t="str">
        <x:v>MILPA ALTA</x:v>
      </x:c>
      <x:c r="B743" t="str">
        <x:v>Santa Ana Tlacotenco</x:v>
      </x:c>
      <x:c r="C743" t="str">
        <x:v>Mujer</x:v>
      </x:c>
      <x:c r="D743" t="str">
        <x:v>d) 15 a 19 años</x:v>
      </x:c>
      <x:c r="E743" s="1" t="n">
        <x:v>494</x:v>
      </x:c>
    </x:row>
    <x:row r="744">
      <x:c r="A744" t="str">
        <x:v>MILPA ALTA</x:v>
      </x:c>
      <x:c r="B744" t="str">
        <x:v>Santa Ana Tlacotenco</x:v>
      </x:c>
      <x:c r="C744" t="str">
        <x:v>Mujer</x:v>
      </x:c>
      <x:c r="D744" t="str">
        <x:v>e) 20 a 24 años</x:v>
      </x:c>
      <x:c r="E744" s="1" t="n">
        <x:v>505</x:v>
      </x:c>
    </x:row>
    <x:row r="745">
      <x:c r="A745" t="str">
        <x:v>MILPA ALTA</x:v>
      </x:c>
      <x:c r="B745" t="str">
        <x:v>Santa Ana Tlacotenco</x:v>
      </x:c>
      <x:c r="C745" t="str">
        <x:v>Mujer</x:v>
      </x:c>
      <x:c r="D745" t="str">
        <x:v>f) 25 a 29 años</x:v>
      </x:c>
      <x:c r="E745" s="1" t="n">
        <x:v>481</x:v>
      </x:c>
    </x:row>
    <x:row r="746">
      <x:c r="A746" t="str">
        <x:v>MILPA ALTA</x:v>
      </x:c>
      <x:c r="B746" t="str">
        <x:v>Santa Ana Tlacotenco</x:v>
      </x:c>
      <x:c r="C746" t="str">
        <x:v>Mujer</x:v>
      </x:c>
      <x:c r="D746" t="str">
        <x:v>g) 30 a 34 años</x:v>
      </x:c>
      <x:c r="E746" s="1" t="n">
        <x:v>497</x:v>
      </x:c>
    </x:row>
    <x:row r="747">
      <x:c r="A747" t="str">
        <x:v>MILPA ALTA</x:v>
      </x:c>
      <x:c r="B747" t="str">
        <x:v>Santa Ana Tlacotenco</x:v>
      </x:c>
      <x:c r="C747" t="str">
        <x:v>Mujer</x:v>
      </x:c>
      <x:c r="D747" t="str">
        <x:v>h) 35 a 39 años</x:v>
      </x:c>
      <x:c r="E747" s="1" t="n">
        <x:v>474</x:v>
      </x:c>
    </x:row>
    <x:row r="748">
      <x:c r="A748" t="str">
        <x:v>MILPA ALTA</x:v>
      </x:c>
      <x:c r="B748" t="str">
        <x:v>Santa Ana Tlacotenco</x:v>
      </x:c>
      <x:c r="C748" t="str">
        <x:v>Mujer</x:v>
      </x:c>
      <x:c r="D748" t="str">
        <x:v>i) 40 a 44 años</x:v>
      </x:c>
      <x:c r="E748" s="1" t="n">
        <x:v>461</x:v>
      </x:c>
    </x:row>
    <x:row r="749">
      <x:c r="A749" t="str">
        <x:v>MILPA ALTA</x:v>
      </x:c>
      <x:c r="B749" t="str">
        <x:v>Santa Ana Tlacotenco</x:v>
      </x:c>
      <x:c r="C749" t="str">
        <x:v>Mujer</x:v>
      </x:c>
      <x:c r="D749" t="str">
        <x:v>j) 45 a 49 años</x:v>
      </x:c>
      <x:c r="E749" s="1" t="n">
        <x:v>395</x:v>
      </x:c>
    </x:row>
    <x:row r="750">
      <x:c r="A750" t="str">
        <x:v>MILPA ALTA</x:v>
      </x:c>
      <x:c r="B750" t="str">
        <x:v>Santa Ana Tlacotenco</x:v>
      </x:c>
      <x:c r="C750" t="str">
        <x:v>Mujer</x:v>
      </x:c>
      <x:c r="D750" t="str">
        <x:v>k) 50 a 54 años</x:v>
      </x:c>
      <x:c r="E750" s="1" t="n">
        <x:v>399</x:v>
      </x:c>
    </x:row>
    <x:row r="751">
      <x:c r="A751" t="str">
        <x:v>MILPA ALTA</x:v>
      </x:c>
      <x:c r="B751" t="str">
        <x:v>Santa Ana Tlacotenco</x:v>
      </x:c>
      <x:c r="C751" t="str">
        <x:v>Mujer</x:v>
      </x:c>
      <x:c r="D751" t="str">
        <x:v>l) 55 a 59 años</x:v>
      </x:c>
      <x:c r="E751" s="1" t="n">
        <x:v>315</x:v>
      </x:c>
    </x:row>
    <x:row r="752">
      <x:c r="A752" t="str">
        <x:v>MILPA ALTA</x:v>
      </x:c>
      <x:c r="B752" t="str">
        <x:v>Santa Ana Tlacotenco</x:v>
      </x:c>
      <x:c r="C752" t="str">
        <x:v>Mujer</x:v>
      </x:c>
      <x:c r="D752" t="str">
        <x:v>m) 60 a 64 años</x:v>
      </x:c>
      <x:c r="E752" s="1" t="n">
        <x:v>238</x:v>
      </x:c>
    </x:row>
    <x:row r="753">
      <x:c r="A753" t="str">
        <x:v>MILPA ALTA</x:v>
      </x:c>
      <x:c r="B753" t="str">
        <x:v>Santa Ana Tlacotenco</x:v>
      </x:c>
      <x:c r="C753" t="str">
        <x:v>Mujer</x:v>
      </x:c>
      <x:c r="D753" t="str">
        <x:v>n) 65 a 69 años</x:v>
      </x:c>
      <x:c r="E753" s="1" t="n">
        <x:v>190</x:v>
      </x:c>
    </x:row>
    <x:row r="754">
      <x:c r="A754" t="str">
        <x:v>MILPA ALTA</x:v>
      </x:c>
      <x:c r="B754" t="str">
        <x:v>Santa Ana Tlacotenco</x:v>
      </x:c>
      <x:c r="C754" t="str">
        <x:v>Mujer</x:v>
      </x:c>
      <x:c r="D754" t="str">
        <x:v>o) 70 a 74 años</x:v>
      </x:c>
      <x:c r="E754" s="1" t="n">
        <x:v>138</x:v>
      </x:c>
    </x:row>
    <x:row r="755">
      <x:c r="A755" t="str">
        <x:v>MILPA ALTA</x:v>
      </x:c>
      <x:c r="B755" t="str">
        <x:v>Santa Ana Tlacotenco</x:v>
      </x:c>
      <x:c r="C755" t="str">
        <x:v>Mujer</x:v>
      </x:c>
      <x:c r="D755" t="str">
        <x:v>p) 75 a 79 años</x:v>
      </x:c>
      <x:c r="E755" s="1" t="n">
        <x:v>74</x:v>
      </x:c>
    </x:row>
    <x:row r="756">
      <x:c r="A756" t="str">
        <x:v>MILPA ALTA</x:v>
      </x:c>
      <x:c r="B756" t="str">
        <x:v>Santa Ana Tlacotenco</x:v>
      </x:c>
      <x:c r="C756" t="str">
        <x:v>Mujer</x:v>
      </x:c>
      <x:c r="D756" t="str">
        <x:v>q) 80 a 84 años</x:v>
      </x:c>
      <x:c r="E756" s="1" t="n">
        <x:v>64</x:v>
      </x:c>
    </x:row>
    <x:row r="757">
      <x:c r="A757" t="str">
        <x:v>MILPA ALTA</x:v>
      </x:c>
      <x:c r="B757" t="str">
        <x:v>Santa Ana Tlacotenco</x:v>
      </x:c>
      <x:c r="C757" t="str">
        <x:v>Mujer</x:v>
      </x:c>
      <x:c r="D757" t="str">
        <x:v>r) 85 años y más</x:v>
      </x:c>
      <x:c r="E757" s="1" t="n">
        <x:v>57</x:v>
      </x:c>
    </x:row>
    <x:row r="758">
      <x:c r="A758" t="str">
        <x:v>MILPA ALTA</x:v>
      </x:c>
      <x:c r="B758" t="str">
        <x:v>Cruztitla</x:v>
      </x:c>
      <x:c r="C758" t="str">
        <x:v>Hombre</x:v>
      </x:c>
      <x:c r="D758" t="str">
        <x:v>a) 0 a 4 años</x:v>
      </x:c>
      <x:c r="E758" s="1" t="n">
        <x:v>41</x:v>
      </x:c>
    </x:row>
    <x:row r="759">
      <x:c r="A759" t="str">
        <x:v>MILPA ALTA</x:v>
      </x:c>
      <x:c r="B759" t="str">
        <x:v>Cruztitla</x:v>
      </x:c>
      <x:c r="C759" t="str">
        <x:v>Hombre</x:v>
      </x:c>
      <x:c r="D759" t="str">
        <x:v>b) 5 a 9 años</x:v>
      </x:c>
      <x:c r="E759" s="1" t="n">
        <x:v>66</x:v>
      </x:c>
    </x:row>
    <x:row r="760">
      <x:c r="A760" t="str">
        <x:v>MILPA ALTA</x:v>
      </x:c>
      <x:c r="B760" t="str">
        <x:v>Cruztitla</x:v>
      </x:c>
      <x:c r="C760" t="str">
        <x:v>Hombre</x:v>
      </x:c>
      <x:c r="D760" t="str">
        <x:v>c) 10 a 14 años</x:v>
      </x:c>
      <x:c r="E760" s="1" t="n">
        <x:v>54</x:v>
      </x:c>
    </x:row>
    <x:row r="761">
      <x:c r="A761" t="str">
        <x:v>MILPA ALTA</x:v>
      </x:c>
      <x:c r="B761" t="str">
        <x:v>Cruztitla</x:v>
      </x:c>
      <x:c r="C761" t="str">
        <x:v>Hombre</x:v>
      </x:c>
      <x:c r="D761" t="str">
        <x:v>d) 15 a 19 años</x:v>
      </x:c>
      <x:c r="E761" s="1" t="n">
        <x:v>59</x:v>
      </x:c>
    </x:row>
    <x:row r="762">
      <x:c r="A762" t="str">
        <x:v>MILPA ALTA</x:v>
      </x:c>
      <x:c r="B762" t="str">
        <x:v>Cruztitla</x:v>
      </x:c>
      <x:c r="C762" t="str">
        <x:v>Hombre</x:v>
      </x:c>
      <x:c r="D762" t="str">
        <x:v>e) 20 a 24 años</x:v>
      </x:c>
      <x:c r="E762" s="1" t="n">
        <x:v>51</x:v>
      </x:c>
    </x:row>
    <x:row r="763">
      <x:c r="A763" t="str">
        <x:v>MILPA ALTA</x:v>
      </x:c>
      <x:c r="B763" t="str">
        <x:v>Cruztitla</x:v>
      </x:c>
      <x:c r="C763" t="str">
        <x:v>Hombre</x:v>
      </x:c>
      <x:c r="D763" t="str">
        <x:v>f) 25 a 29 años</x:v>
      </x:c>
      <x:c r="E763" s="1" t="n">
        <x:v>49</x:v>
      </x:c>
    </x:row>
    <x:row r="764">
      <x:c r="A764" t="str">
        <x:v>MILPA ALTA</x:v>
      </x:c>
      <x:c r="B764" t="str">
        <x:v>Cruztitla</x:v>
      </x:c>
      <x:c r="C764" t="str">
        <x:v>Hombre</x:v>
      </x:c>
      <x:c r="D764" t="str">
        <x:v>g) 30 a 34 años</x:v>
      </x:c>
      <x:c r="E764" s="1" t="n">
        <x:v>32</x:v>
      </x:c>
    </x:row>
    <x:row r="765">
      <x:c r="A765" t="str">
        <x:v>MILPA ALTA</x:v>
      </x:c>
      <x:c r="B765" t="str">
        <x:v>Cruztitla</x:v>
      </x:c>
      <x:c r="C765" t="str">
        <x:v>Hombre</x:v>
      </x:c>
      <x:c r="D765" t="str">
        <x:v>h) 35 a 39 años</x:v>
      </x:c>
      <x:c r="E765" s="1" t="n">
        <x:v>42</x:v>
      </x:c>
    </x:row>
    <x:row r="766">
      <x:c r="A766" t="str">
        <x:v>MILPA ALTA</x:v>
      </x:c>
      <x:c r="B766" t="str">
        <x:v>Cruztitla</x:v>
      </x:c>
      <x:c r="C766" t="str">
        <x:v>Hombre</x:v>
      </x:c>
      <x:c r="D766" t="str">
        <x:v>i) 40 a 44 años</x:v>
      </x:c>
      <x:c r="E766" s="1" t="n">
        <x:v>40</x:v>
      </x:c>
    </x:row>
    <x:row r="767">
      <x:c r="A767" t="str">
        <x:v>MILPA ALTA</x:v>
      </x:c>
      <x:c r="B767" t="str">
        <x:v>Cruztitla</x:v>
      </x:c>
      <x:c r="C767" t="str">
        <x:v>Hombre</x:v>
      </x:c>
      <x:c r="D767" t="str">
        <x:v>j) 45 a 49 años</x:v>
      </x:c>
      <x:c r="E767" s="1" t="n">
        <x:v>41</x:v>
      </x:c>
    </x:row>
    <x:row r="768">
      <x:c r="A768" t="str">
        <x:v>MILPA ALTA</x:v>
      </x:c>
      <x:c r="B768" t="str">
        <x:v>Cruztitla</x:v>
      </x:c>
      <x:c r="C768" t="str">
        <x:v>Hombre</x:v>
      </x:c>
      <x:c r="D768" t="str">
        <x:v>k) 50 a 54 años</x:v>
      </x:c>
      <x:c r="E768" s="1" t="n">
        <x:v>31</x:v>
      </x:c>
    </x:row>
    <x:row r="769">
      <x:c r="A769" t="str">
        <x:v>MILPA ALTA</x:v>
      </x:c>
      <x:c r="B769" t="str">
        <x:v>Cruztitla</x:v>
      </x:c>
      <x:c r="C769" t="str">
        <x:v>Hombre</x:v>
      </x:c>
      <x:c r="D769" t="str">
        <x:v>l) 55 a 59 años</x:v>
      </x:c>
      <x:c r="E769" s="1" t="n">
        <x:v>24</x:v>
      </x:c>
    </x:row>
    <x:row r="770">
      <x:c r="A770" t="str">
        <x:v>MILPA ALTA</x:v>
      </x:c>
      <x:c r="B770" t="str">
        <x:v>Cruztitla</x:v>
      </x:c>
      <x:c r="C770" t="str">
        <x:v>Hombre</x:v>
      </x:c>
      <x:c r="D770" t="str">
        <x:v>m) 60 a 64 años</x:v>
      </x:c>
      <x:c r="E770" s="1" t="n">
        <x:v>12</x:v>
      </x:c>
    </x:row>
    <x:row r="771">
      <x:c r="A771" t="str">
        <x:v>MILPA ALTA</x:v>
      </x:c>
      <x:c r="B771" t="str">
        <x:v>Cruztitla</x:v>
      </x:c>
      <x:c r="C771" t="str">
        <x:v>Hombre</x:v>
      </x:c>
      <x:c r="D771" t="str">
        <x:v>n) 65 a 69 años</x:v>
      </x:c>
      <x:c r="E771" s="1" t="n">
        <x:v>9</x:v>
      </x:c>
    </x:row>
    <x:row r="772">
      <x:c r="A772" t="str">
        <x:v>MILPA ALTA</x:v>
      </x:c>
      <x:c r="B772" t="str">
        <x:v>Cruztitla</x:v>
      </x:c>
      <x:c r="C772" t="str">
        <x:v>Hombre</x:v>
      </x:c>
      <x:c r="D772" t="str">
        <x:v>o) 70 a 74 años</x:v>
      </x:c>
      <x:c r="E772" s="1" t="n">
        <x:v>7</x:v>
      </x:c>
    </x:row>
    <x:row r="773">
      <x:c r="A773" t="str">
        <x:v>MILPA ALTA</x:v>
      </x:c>
      <x:c r="B773" t="str">
        <x:v>Cruztitla</x:v>
      </x:c>
      <x:c r="C773" t="str">
        <x:v>Hombre</x:v>
      </x:c>
      <x:c r="D773" t="str">
        <x:v>p) 75 a 79 años</x:v>
      </x:c>
      <x:c r="E773" s="1" t="n">
        <x:v>2</x:v>
      </x:c>
    </x:row>
    <x:row r="774">
      <x:c r="A774" t="str">
        <x:v>MILPA ALTA</x:v>
      </x:c>
      <x:c r="B774" t="str">
        <x:v>Cruztitla</x:v>
      </x:c>
      <x:c r="C774" t="str">
        <x:v>Hombre</x:v>
      </x:c>
      <x:c r="D774" t="str">
        <x:v>q) 80 a 84 años</x:v>
      </x:c>
      <x:c r="E774" s="1" t="n">
        <x:v>0</x:v>
      </x:c>
    </x:row>
    <x:row r="775">
      <x:c r="A775" t="str">
        <x:v>MILPA ALTA</x:v>
      </x:c>
      <x:c r="B775" t="str">
        <x:v>Cruztitla</x:v>
      </x:c>
      <x:c r="C775" t="str">
        <x:v>Hombre</x:v>
      </x:c>
      <x:c r="D775" t="str">
        <x:v>r) 85 años y más</x:v>
      </x:c>
      <x:c r="E775" s="1" t="n">
        <x:v>3</x:v>
      </x:c>
    </x:row>
    <x:row r="776">
      <x:c r="A776" t="str">
        <x:v>MILPA ALTA</x:v>
      </x:c>
      <x:c r="B776" t="str">
        <x:v>Cruztitla</x:v>
      </x:c>
      <x:c r="C776" t="str">
        <x:v>Mujer</x:v>
      </x:c>
      <x:c r="D776" t="str">
        <x:v>a) 0 a 4 años</x:v>
      </x:c>
      <x:c r="E776" s="1" t="n">
        <x:v>38</x:v>
      </x:c>
    </x:row>
    <x:row r="777">
      <x:c r="A777" t="str">
        <x:v>MILPA ALTA</x:v>
      </x:c>
      <x:c r="B777" t="str">
        <x:v>Cruztitla</x:v>
      </x:c>
      <x:c r="C777" t="str">
        <x:v>Mujer</x:v>
      </x:c>
      <x:c r="D777" t="str">
        <x:v>b) 5 a 9 años</x:v>
      </x:c>
      <x:c r="E777" s="1" t="n">
        <x:v>48</x:v>
      </x:c>
    </x:row>
    <x:row r="778">
      <x:c r="A778" t="str">
        <x:v>MILPA ALTA</x:v>
      </x:c>
      <x:c r="B778" t="str">
        <x:v>Cruztitla</x:v>
      </x:c>
      <x:c r="C778" t="str">
        <x:v>Mujer</x:v>
      </x:c>
      <x:c r="D778" t="str">
        <x:v>c) 10 a 14 años</x:v>
      </x:c>
      <x:c r="E778" s="1" t="n">
        <x:v>56</x:v>
      </x:c>
    </x:row>
    <x:row r="779">
      <x:c r="A779" t="str">
        <x:v>MILPA ALTA</x:v>
      </x:c>
      <x:c r="B779" t="str">
        <x:v>Cruztitla</x:v>
      </x:c>
      <x:c r="C779" t="str">
        <x:v>Mujer</x:v>
      </x:c>
      <x:c r="D779" t="str">
        <x:v>d) 15 a 19 años</x:v>
      </x:c>
      <x:c r="E779" s="1" t="n">
        <x:v>50</x:v>
      </x:c>
    </x:row>
    <x:row r="780">
      <x:c r="A780" t="str">
        <x:v>MILPA ALTA</x:v>
      </x:c>
      <x:c r="B780" t="str">
        <x:v>Cruztitla</x:v>
      </x:c>
      <x:c r="C780" t="str">
        <x:v>Mujer</x:v>
      </x:c>
      <x:c r="D780" t="str">
        <x:v>e) 20 a 24 años</x:v>
      </x:c>
      <x:c r="E780" s="1" t="n">
        <x:v>49</x:v>
      </x:c>
    </x:row>
    <x:row r="781">
      <x:c r="A781" t="str">
        <x:v>MILPA ALTA</x:v>
      </x:c>
      <x:c r="B781" t="str">
        <x:v>Cruztitla</x:v>
      </x:c>
      <x:c r="C781" t="str">
        <x:v>Mujer</x:v>
      </x:c>
      <x:c r="D781" t="str">
        <x:v>f) 25 a 29 años</x:v>
      </x:c>
      <x:c r="E781" s="1" t="n">
        <x:v>49</x:v>
      </x:c>
    </x:row>
    <x:row r="782">
      <x:c r="A782" t="str">
        <x:v>MILPA ALTA</x:v>
      </x:c>
      <x:c r="B782" t="str">
        <x:v>Cruztitla</x:v>
      </x:c>
      <x:c r="C782" t="str">
        <x:v>Mujer</x:v>
      </x:c>
      <x:c r="D782" t="str">
        <x:v>g) 30 a 34 años</x:v>
      </x:c>
      <x:c r="E782" s="1" t="n">
        <x:v>52</x:v>
      </x:c>
    </x:row>
    <x:row r="783">
      <x:c r="A783" t="str">
        <x:v>MILPA ALTA</x:v>
      </x:c>
      <x:c r="B783" t="str">
        <x:v>Cruztitla</x:v>
      </x:c>
      <x:c r="C783" t="str">
        <x:v>Mujer</x:v>
      </x:c>
      <x:c r="D783" t="str">
        <x:v>h) 35 a 39 años</x:v>
      </x:c>
      <x:c r="E783" s="1" t="n">
        <x:v>36</x:v>
      </x:c>
    </x:row>
    <x:row r="784">
      <x:c r="A784" t="str">
        <x:v>MILPA ALTA</x:v>
      </x:c>
      <x:c r="B784" t="str">
        <x:v>Cruztitla</x:v>
      </x:c>
      <x:c r="C784" t="str">
        <x:v>Mujer</x:v>
      </x:c>
      <x:c r="D784" t="str">
        <x:v>i) 40 a 44 años</x:v>
      </x:c>
      <x:c r="E784" s="1" t="n">
        <x:v>35</x:v>
      </x:c>
    </x:row>
    <x:row r="785">
      <x:c r="A785" t="str">
        <x:v>MILPA ALTA</x:v>
      </x:c>
      <x:c r="B785" t="str">
        <x:v>Cruztitla</x:v>
      </x:c>
      <x:c r="C785" t="str">
        <x:v>Mujer</x:v>
      </x:c>
      <x:c r="D785" t="str">
        <x:v>j) 45 a 49 años</x:v>
      </x:c>
      <x:c r="E785" s="1" t="n">
        <x:v>43</x:v>
      </x:c>
    </x:row>
    <x:row r="786">
      <x:c r="A786" t="str">
        <x:v>MILPA ALTA</x:v>
      </x:c>
      <x:c r="B786" t="str">
        <x:v>Cruztitla</x:v>
      </x:c>
      <x:c r="C786" t="str">
        <x:v>Mujer</x:v>
      </x:c>
      <x:c r="D786" t="str">
        <x:v>k) 50 a 54 años</x:v>
      </x:c>
      <x:c r="E786" s="1" t="n">
        <x:v>46</x:v>
      </x:c>
    </x:row>
    <x:row r="787">
      <x:c r="A787" t="str">
        <x:v>MILPA ALTA</x:v>
      </x:c>
      <x:c r="B787" t="str">
        <x:v>Cruztitla</x:v>
      </x:c>
      <x:c r="C787" t="str">
        <x:v>Mujer</x:v>
      </x:c>
      <x:c r="D787" t="str">
        <x:v>l) 55 a 59 años</x:v>
      </x:c>
      <x:c r="E787" s="1" t="n">
        <x:v>21</x:v>
      </x:c>
    </x:row>
    <x:row r="788">
      <x:c r="A788" t="str">
        <x:v>MILPA ALTA</x:v>
      </x:c>
      <x:c r="B788" t="str">
        <x:v>Cruztitla</x:v>
      </x:c>
      <x:c r="C788" t="str">
        <x:v>Mujer</x:v>
      </x:c>
      <x:c r="D788" t="str">
        <x:v>m) 60 a 64 años</x:v>
      </x:c>
      <x:c r="E788" s="1" t="n">
        <x:v>16</x:v>
      </x:c>
    </x:row>
    <x:row r="789">
      <x:c r="A789" t="str">
        <x:v>MILPA ALTA</x:v>
      </x:c>
      <x:c r="B789" t="str">
        <x:v>Cruztitla</x:v>
      </x:c>
      <x:c r="C789" t="str">
        <x:v>Mujer</x:v>
      </x:c>
      <x:c r="D789" t="str">
        <x:v>n) 65 a 69 años</x:v>
      </x:c>
      <x:c r="E789" s="1" t="n">
        <x:v>10</x:v>
      </x:c>
    </x:row>
    <x:row r="790">
      <x:c r="A790" t="str">
        <x:v>MILPA ALTA</x:v>
      </x:c>
      <x:c r="B790" t="str">
        <x:v>Cruztitla</x:v>
      </x:c>
      <x:c r="C790" t="str">
        <x:v>Mujer</x:v>
      </x:c>
      <x:c r="D790" t="str">
        <x:v>o) 70 a 74 años</x:v>
      </x:c>
      <x:c r="E790" s="1" t="n">
        <x:v>5</x:v>
      </x:c>
    </x:row>
    <x:row r="791">
      <x:c r="A791" t="str">
        <x:v>MILPA ALTA</x:v>
      </x:c>
      <x:c r="B791" t="str">
        <x:v>Cruztitla</x:v>
      </x:c>
      <x:c r="C791" t="str">
        <x:v>Mujer</x:v>
      </x:c>
      <x:c r="D791" t="str">
        <x:v>p) 75 a 79 años</x:v>
      </x:c>
      <x:c r="E791" s="1" t="n">
        <x:v>3</x:v>
      </x:c>
    </x:row>
    <x:row r="792">
      <x:c r="A792" t="str">
        <x:v>MILPA ALTA</x:v>
      </x:c>
      <x:c r="B792" t="str">
        <x:v>Cruztitla</x:v>
      </x:c>
      <x:c r="C792" t="str">
        <x:v>Mujer</x:v>
      </x:c>
      <x:c r="D792" t="str">
        <x:v>q) 80 a 84 años</x:v>
      </x:c>
      <x:c r="E792" s="1" t="n">
        <x:v>1</x:v>
      </x:c>
    </x:row>
    <x:row r="793">
      <x:c r="A793" t="str">
        <x:v>MILPA ALTA</x:v>
      </x:c>
      <x:c r="B793" t="str">
        <x:v>Cruztitla</x:v>
      </x:c>
      <x:c r="C793" t="str">
        <x:v>Mujer</x:v>
      </x:c>
      <x:c r="D793" t="str">
        <x:v>r) 85 años y más</x:v>
      </x:c>
      <x:c r="E793" s="1" t="n">
        <x:v>2</x:v>
      </x:c>
    </x:row>
    <x:row r="794">
      <x:c r="A794" t="str">
        <x:v>MILPA ALTA</x:v>
      </x:c>
      <x:c r="B794" t="str">
        <x:v>Xoctonco</x:v>
      </x:c>
      <x:c r="C794" t="str">
        <x:v>Hombre</x:v>
      </x:c>
      <x:c r="D794" t="str">
        <x:v>a) 0 a 4 años</x:v>
      </x:c>
      <x:c r="E794" s="1" t="n">
        <x:v>17</x:v>
      </x:c>
    </x:row>
    <x:row r="795">
      <x:c r="A795" t="str">
        <x:v>MILPA ALTA</x:v>
      </x:c>
      <x:c r="B795" t="str">
        <x:v>Xoctonco</x:v>
      </x:c>
      <x:c r="C795" t="str">
        <x:v>Hombre</x:v>
      </x:c>
      <x:c r="D795" t="str">
        <x:v>b) 5 a 9 años</x:v>
      </x:c>
      <x:c r="E795" s="1" t="n">
        <x:v>13</x:v>
      </x:c>
    </x:row>
    <x:row r="796">
      <x:c r="A796" t="str">
        <x:v>MILPA ALTA</x:v>
      </x:c>
      <x:c r="B796" t="str">
        <x:v>Xoctonco</x:v>
      </x:c>
      <x:c r="C796" t="str">
        <x:v>Hombre</x:v>
      </x:c>
      <x:c r="D796" t="str">
        <x:v>c) 10 a 14 años</x:v>
      </x:c>
      <x:c r="E796" s="1" t="n">
        <x:v>19</x:v>
      </x:c>
    </x:row>
    <x:row r="797">
      <x:c r="A797" t="str">
        <x:v>MILPA ALTA</x:v>
      </x:c>
      <x:c r="B797" t="str">
        <x:v>Xoctonco</x:v>
      </x:c>
      <x:c r="C797" t="str">
        <x:v>Hombre</x:v>
      </x:c>
      <x:c r="D797" t="str">
        <x:v>d) 15 a 19 años</x:v>
      </x:c>
      <x:c r="E797" s="1" t="n">
        <x:v>22</x:v>
      </x:c>
    </x:row>
    <x:row r="798">
      <x:c r="A798" t="str">
        <x:v>MILPA ALTA</x:v>
      </x:c>
      <x:c r="B798" t="str">
        <x:v>Xoctonco</x:v>
      </x:c>
      <x:c r="C798" t="str">
        <x:v>Hombre</x:v>
      </x:c>
      <x:c r="D798" t="str">
        <x:v>e) 20 a 24 años</x:v>
      </x:c>
      <x:c r="E798" s="1" t="n">
        <x:v>22</x:v>
      </x:c>
    </x:row>
    <x:row r="799">
      <x:c r="A799" t="str">
        <x:v>MILPA ALTA</x:v>
      </x:c>
      <x:c r="B799" t="str">
        <x:v>Xoctonco</x:v>
      </x:c>
      <x:c r="C799" t="str">
        <x:v>Hombre</x:v>
      </x:c>
      <x:c r="D799" t="str">
        <x:v>f) 25 a 29 años</x:v>
      </x:c>
      <x:c r="E799" s="1" t="n">
        <x:v>17</x:v>
      </x:c>
    </x:row>
    <x:row r="800">
      <x:c r="A800" t="str">
        <x:v>MILPA ALTA</x:v>
      </x:c>
      <x:c r="B800" t="str">
        <x:v>Xoctonco</x:v>
      </x:c>
      <x:c r="C800" t="str">
        <x:v>Hombre</x:v>
      </x:c>
      <x:c r="D800" t="str">
        <x:v>g) 30 a 34 años</x:v>
      </x:c>
      <x:c r="E800" s="1" t="n">
        <x:v>16</x:v>
      </x:c>
    </x:row>
    <x:row r="801">
      <x:c r="A801" t="str">
        <x:v>MILPA ALTA</x:v>
      </x:c>
      <x:c r="B801" t="str">
        <x:v>Xoctonco</x:v>
      </x:c>
      <x:c r="C801" t="str">
        <x:v>Hombre</x:v>
      </x:c>
      <x:c r="D801" t="str">
        <x:v>h) 35 a 39 años</x:v>
      </x:c>
      <x:c r="E801" s="1" t="n">
        <x:v>15</x:v>
      </x:c>
    </x:row>
    <x:row r="802">
      <x:c r="A802" t="str">
        <x:v>MILPA ALTA</x:v>
      </x:c>
      <x:c r="B802" t="str">
        <x:v>Xoctonco</x:v>
      </x:c>
      <x:c r="C802" t="str">
        <x:v>Hombre</x:v>
      </x:c>
      <x:c r="D802" t="str">
        <x:v>i) 40 a 44 años</x:v>
      </x:c>
      <x:c r="E802" s="1" t="n">
        <x:v>11</x:v>
      </x:c>
    </x:row>
    <x:row r="803">
      <x:c r="A803" t="str">
        <x:v>MILPA ALTA</x:v>
      </x:c>
      <x:c r="B803" t="str">
        <x:v>Xoctonco</x:v>
      </x:c>
      <x:c r="C803" t="str">
        <x:v>Hombre</x:v>
      </x:c>
      <x:c r="D803" t="str">
        <x:v>j) 45 a 49 años</x:v>
      </x:c>
      <x:c r="E803" s="1" t="n">
        <x:v>14</x:v>
      </x:c>
    </x:row>
    <x:row r="804">
      <x:c r="A804" t="str">
        <x:v>MILPA ALTA</x:v>
      </x:c>
      <x:c r="B804" t="str">
        <x:v>Xoctonco</x:v>
      </x:c>
      <x:c r="C804" t="str">
        <x:v>Hombre</x:v>
      </x:c>
      <x:c r="D804" t="str">
        <x:v>k) 50 a 54 años</x:v>
      </x:c>
      <x:c r="E804" s="1" t="n">
        <x:v>8</x:v>
      </x:c>
    </x:row>
    <x:row r="805">
      <x:c r="A805" t="str">
        <x:v>MILPA ALTA</x:v>
      </x:c>
      <x:c r="B805" t="str">
        <x:v>Xoctonco</x:v>
      </x:c>
      <x:c r="C805" t="str">
        <x:v>Hombre</x:v>
      </x:c>
      <x:c r="D805" t="str">
        <x:v>l) 55 a 59 años</x:v>
      </x:c>
      <x:c r="E805" s="1" t="n">
        <x:v>15</x:v>
      </x:c>
    </x:row>
    <x:row r="806">
      <x:c r="A806" t="str">
        <x:v>MILPA ALTA</x:v>
      </x:c>
      <x:c r="B806" t="str">
        <x:v>Xoctonco</x:v>
      </x:c>
      <x:c r="C806" t="str">
        <x:v>Hombre</x:v>
      </x:c>
      <x:c r="D806" t="str">
        <x:v>m) 60 a 64 años</x:v>
      </x:c>
      <x:c r="E806" s="1" t="n">
        <x:v>5</x:v>
      </x:c>
    </x:row>
    <x:row r="807">
      <x:c r="A807" t="str">
        <x:v>MILPA ALTA</x:v>
      </x:c>
      <x:c r="B807" t="str">
        <x:v>Xoctonco</x:v>
      </x:c>
      <x:c r="C807" t="str">
        <x:v>Hombre</x:v>
      </x:c>
      <x:c r="D807" t="str">
        <x:v>n) 65 a 69 años</x:v>
      </x:c>
      <x:c r="E807" s="1" t="n">
        <x:v>3</x:v>
      </x:c>
    </x:row>
    <x:row r="808">
      <x:c r="A808" t="str">
        <x:v>MILPA ALTA</x:v>
      </x:c>
      <x:c r="B808" t="str">
        <x:v>Xoctonco</x:v>
      </x:c>
      <x:c r="C808" t="str">
        <x:v>Hombre</x:v>
      </x:c>
      <x:c r="D808" t="str">
        <x:v>o) 70 a 74 años</x:v>
      </x:c>
      <x:c r="E808" s="1" t="n">
        <x:v>1</x:v>
      </x:c>
    </x:row>
    <x:row r="809">
      <x:c r="A809" t="str">
        <x:v>MILPA ALTA</x:v>
      </x:c>
      <x:c r="B809" t="str">
        <x:v>Xoctonco</x:v>
      </x:c>
      <x:c r="C809" t="str">
        <x:v>Hombre</x:v>
      </x:c>
      <x:c r="D809" t="str">
        <x:v>p) 75 a 79 años</x:v>
      </x:c>
      <x:c r="E809" s="1" t="n">
        <x:v>1</x:v>
      </x:c>
    </x:row>
    <x:row r="810">
      <x:c r="A810" t="str">
        <x:v>MILPA ALTA</x:v>
      </x:c>
      <x:c r="B810" t="str">
        <x:v>Xoctonco</x:v>
      </x:c>
      <x:c r="C810" t="str">
        <x:v>Hombre</x:v>
      </x:c>
      <x:c r="D810" t="str">
        <x:v>q) 80 a 84 años</x:v>
      </x:c>
      <x:c r="E810" s="1" t="n">
        <x:v>0</x:v>
      </x:c>
    </x:row>
    <x:row r="811">
      <x:c r="A811" t="str">
        <x:v>MILPA ALTA</x:v>
      </x:c>
      <x:c r="B811" t="str">
        <x:v>Xoctonco</x:v>
      </x:c>
      <x:c r="C811" t="str">
        <x:v>Hombre</x:v>
      </x:c>
      <x:c r="D811" t="str">
        <x:v>r) 85 años y más</x:v>
      </x:c>
      <x:c r="E811" s="1" t="n">
        <x:v>2</x:v>
      </x:c>
    </x:row>
    <x:row r="812">
      <x:c r="A812" t="str">
        <x:v>MILPA ALTA</x:v>
      </x:c>
      <x:c r="B812" t="str">
        <x:v>Xoctonco</x:v>
      </x:c>
      <x:c r="C812" t="str">
        <x:v>Mujer</x:v>
      </x:c>
      <x:c r="D812" t="str">
        <x:v>a) 0 a 4 años</x:v>
      </x:c>
      <x:c r="E812" s="1" t="n">
        <x:v>13</x:v>
      </x:c>
    </x:row>
    <x:row r="813">
      <x:c r="A813" t="str">
        <x:v>MILPA ALTA</x:v>
      </x:c>
      <x:c r="B813" t="str">
        <x:v>Xoctonco</x:v>
      </x:c>
      <x:c r="C813" t="str">
        <x:v>Mujer</x:v>
      </x:c>
      <x:c r="D813" t="str">
        <x:v>b) 5 a 9 años</x:v>
      </x:c>
      <x:c r="E813" s="1" t="n">
        <x:v>21</x:v>
      </x:c>
    </x:row>
    <x:row r="814">
      <x:c r="A814" t="str">
        <x:v>MILPA ALTA</x:v>
      </x:c>
      <x:c r="B814" t="str">
        <x:v>Xoctonco</x:v>
      </x:c>
      <x:c r="C814" t="str">
        <x:v>Mujer</x:v>
      </x:c>
      <x:c r="D814" t="str">
        <x:v>c) 10 a 14 años</x:v>
      </x:c>
      <x:c r="E814" s="1" t="n">
        <x:v>13</x:v>
      </x:c>
    </x:row>
    <x:row r="815">
      <x:c r="A815" t="str">
        <x:v>MILPA ALTA</x:v>
      </x:c>
      <x:c r="B815" t="str">
        <x:v>Xoctonco</x:v>
      </x:c>
      <x:c r="C815" t="str">
        <x:v>Mujer</x:v>
      </x:c>
      <x:c r="D815" t="str">
        <x:v>d) 15 a 19 años</x:v>
      </x:c>
      <x:c r="E815" s="1" t="n">
        <x:v>22</x:v>
      </x:c>
    </x:row>
    <x:row r="816">
      <x:c r="A816" t="str">
        <x:v>MILPA ALTA</x:v>
      </x:c>
      <x:c r="B816" t="str">
        <x:v>Xoctonco</x:v>
      </x:c>
      <x:c r="C816" t="str">
        <x:v>Mujer</x:v>
      </x:c>
      <x:c r="D816" t="str">
        <x:v>e) 20 a 24 años</x:v>
      </x:c>
      <x:c r="E816" s="1" t="n">
        <x:v>18</x:v>
      </x:c>
    </x:row>
    <x:row r="817">
      <x:c r="A817" t="str">
        <x:v>MILPA ALTA</x:v>
      </x:c>
      <x:c r="B817" t="str">
        <x:v>Xoctonco</x:v>
      </x:c>
      <x:c r="C817" t="str">
        <x:v>Mujer</x:v>
      </x:c>
      <x:c r="D817" t="str">
        <x:v>f) 25 a 29 años</x:v>
      </x:c>
      <x:c r="E817" s="1" t="n">
        <x:v>14</x:v>
      </x:c>
    </x:row>
    <x:row r="818">
      <x:c r="A818" t="str">
        <x:v>MILPA ALTA</x:v>
      </x:c>
      <x:c r="B818" t="str">
        <x:v>Xoctonco</x:v>
      </x:c>
      <x:c r="C818" t="str">
        <x:v>Mujer</x:v>
      </x:c>
      <x:c r="D818" t="str">
        <x:v>g) 30 a 34 años</x:v>
      </x:c>
      <x:c r="E818" s="1" t="n">
        <x:v>17</x:v>
      </x:c>
    </x:row>
    <x:row r="819">
      <x:c r="A819" t="str">
        <x:v>MILPA ALTA</x:v>
      </x:c>
      <x:c r="B819" t="str">
        <x:v>Xoctonco</x:v>
      </x:c>
      <x:c r="C819" t="str">
        <x:v>Mujer</x:v>
      </x:c>
      <x:c r="D819" t="str">
        <x:v>h) 35 a 39 años</x:v>
      </x:c>
      <x:c r="E819" s="1" t="n">
        <x:v>19</x:v>
      </x:c>
    </x:row>
    <x:row r="820">
      <x:c r="A820" t="str">
        <x:v>MILPA ALTA</x:v>
      </x:c>
      <x:c r="B820" t="str">
        <x:v>Xoctonco</x:v>
      </x:c>
      <x:c r="C820" t="str">
        <x:v>Mujer</x:v>
      </x:c>
      <x:c r="D820" t="str">
        <x:v>i) 40 a 44 años</x:v>
      </x:c>
      <x:c r="E820" s="1" t="n">
        <x:v>10</x:v>
      </x:c>
    </x:row>
    <x:row r="821">
      <x:c r="A821" t="str">
        <x:v>MILPA ALTA</x:v>
      </x:c>
      <x:c r="B821" t="str">
        <x:v>Xoctonco</x:v>
      </x:c>
      <x:c r="C821" t="str">
        <x:v>Mujer</x:v>
      </x:c>
      <x:c r="D821" t="str">
        <x:v>j) 45 a 49 años</x:v>
      </x:c>
      <x:c r="E821" s="1" t="n">
        <x:v>12</x:v>
      </x:c>
    </x:row>
    <x:row r="822">
      <x:c r="A822" t="str">
        <x:v>MILPA ALTA</x:v>
      </x:c>
      <x:c r="B822" t="str">
        <x:v>Xoctonco</x:v>
      </x:c>
      <x:c r="C822" t="str">
        <x:v>Mujer</x:v>
      </x:c>
      <x:c r="D822" t="str">
        <x:v>k) 50 a 54 años</x:v>
      </x:c>
      <x:c r="E822" s="1" t="n">
        <x:v>17</x:v>
      </x:c>
    </x:row>
    <x:row r="823">
      <x:c r="A823" t="str">
        <x:v>MILPA ALTA</x:v>
      </x:c>
      <x:c r="B823" t="str">
        <x:v>Xoctonco</x:v>
      </x:c>
      <x:c r="C823" t="str">
        <x:v>Mujer</x:v>
      </x:c>
      <x:c r="D823" t="str">
        <x:v>l) 55 a 59 años</x:v>
      </x:c>
      <x:c r="E823" s="1" t="n">
        <x:v>7</x:v>
      </x:c>
    </x:row>
    <x:row r="824">
      <x:c r="A824" t="str">
        <x:v>MILPA ALTA</x:v>
      </x:c>
      <x:c r="B824" t="str">
        <x:v>Xoctonco</x:v>
      </x:c>
      <x:c r="C824" t="str">
        <x:v>Mujer</x:v>
      </x:c>
      <x:c r="D824" t="str">
        <x:v>m) 60 a 64 años</x:v>
      </x:c>
      <x:c r="E824" s="1" t="n">
        <x:v>3</x:v>
      </x:c>
    </x:row>
    <x:row r="825">
      <x:c r="A825" t="str">
        <x:v>MILPA ALTA</x:v>
      </x:c>
      <x:c r="B825" t="str">
        <x:v>Xoctonco</x:v>
      </x:c>
      <x:c r="C825" t="str">
        <x:v>Mujer</x:v>
      </x:c>
      <x:c r="D825" t="str">
        <x:v>n) 65 a 69 años</x:v>
      </x:c>
      <x:c r="E825" s="1" t="n">
        <x:v>4</x:v>
      </x:c>
    </x:row>
    <x:row r="826">
      <x:c r="A826" t="str">
        <x:v>MILPA ALTA</x:v>
      </x:c>
      <x:c r="B826" t="str">
        <x:v>Xoctonco</x:v>
      </x:c>
      <x:c r="C826" t="str">
        <x:v>Mujer</x:v>
      </x:c>
      <x:c r="D826" t="str">
        <x:v>o) 70 a 74 años</x:v>
      </x:c>
      <x:c r="E826" s="1" t="n">
        <x:v>0</x:v>
      </x:c>
    </x:row>
    <x:row r="827">
      <x:c r="A827" t="str">
        <x:v>MILPA ALTA</x:v>
      </x:c>
      <x:c r="B827" t="str">
        <x:v>Xoctonco</x:v>
      </x:c>
      <x:c r="C827" t="str">
        <x:v>Mujer</x:v>
      </x:c>
      <x:c r="D827" t="str">
        <x:v>p) 75 a 79 años</x:v>
      </x:c>
      <x:c r="E827" s="1" t="n">
        <x:v>0</x:v>
      </x:c>
    </x:row>
    <x:row r="828">
      <x:c r="A828" t="str">
        <x:v>MILPA ALTA</x:v>
      </x:c>
      <x:c r="B828" t="str">
        <x:v>Xoctonco</x:v>
      </x:c>
      <x:c r="C828" t="str">
        <x:v>Mujer</x:v>
      </x:c>
      <x:c r="D828" t="str">
        <x:v>q) 80 a 84 años</x:v>
      </x:c>
      <x:c r="E828" s="1" t="n">
        <x:v>2</x:v>
      </x:c>
    </x:row>
    <x:row r="829">
      <x:c r="A829" t="str">
        <x:v>MILPA ALTA</x:v>
      </x:c>
      <x:c r="B829" t="str">
        <x:v>Xoctonco</x:v>
      </x:c>
      <x:c r="C829" t="str">
        <x:v>Mujer</x:v>
      </x:c>
      <x:c r="D829" t="str">
        <x:v>r) 85 años y más</x:v>
      </x:c>
      <x:c r="E829" s="1" t="n">
        <x:v>1</x:v>
      </x:c>
    </x:row>
    <x:row r="830">
      <x:c r="A830" t="str">
        <x:v>MILPA ALTA</x:v>
      </x:c>
      <x:c r="B830" t="str">
        <x:v>Tezompa</x:v>
      </x:c>
      <x:c r="C830" t="str">
        <x:v>Hombre</x:v>
      </x:c>
      <x:c r="D830" t="str">
        <x:v>a) 0 a 4 años</x:v>
      </x:c>
      <x:c r="E830" s="1" t="n">
        <x:v>13</x:v>
      </x:c>
    </x:row>
    <x:row r="831">
      <x:c r="A831" t="str">
        <x:v>MILPA ALTA</x:v>
      </x:c>
      <x:c r="B831" t="str">
        <x:v>Tezompa</x:v>
      </x:c>
      <x:c r="C831" t="str">
        <x:v>Hombre</x:v>
      </x:c>
      <x:c r="D831" t="str">
        <x:v>b) 5 a 9 años</x:v>
      </x:c>
      <x:c r="E831" s="1" t="n">
        <x:v>9</x:v>
      </x:c>
    </x:row>
    <x:row r="832">
      <x:c r="A832" t="str">
        <x:v>MILPA ALTA</x:v>
      </x:c>
      <x:c r="B832" t="str">
        <x:v>Tezompa</x:v>
      </x:c>
      <x:c r="C832" t="str">
        <x:v>Hombre</x:v>
      </x:c>
      <x:c r="D832" t="str">
        <x:v>c) 10 a 14 años</x:v>
      </x:c>
      <x:c r="E832" s="1" t="n">
        <x:v>9</x:v>
      </x:c>
    </x:row>
    <x:row r="833">
      <x:c r="A833" t="str">
        <x:v>MILPA ALTA</x:v>
      </x:c>
      <x:c r="B833" t="str">
        <x:v>Tezompa</x:v>
      </x:c>
      <x:c r="C833" t="str">
        <x:v>Hombre</x:v>
      </x:c>
      <x:c r="D833" t="str">
        <x:v>d) 15 a 19 años</x:v>
      </x:c>
      <x:c r="E833" s="1" t="n">
        <x:v>3</x:v>
      </x:c>
    </x:row>
    <x:row r="834">
      <x:c r="A834" t="str">
        <x:v>MILPA ALTA</x:v>
      </x:c>
      <x:c r="B834" t="str">
        <x:v>Tezompa</x:v>
      </x:c>
      <x:c r="C834" t="str">
        <x:v>Hombre</x:v>
      </x:c>
      <x:c r="D834" t="str">
        <x:v>e) 20 a 24 años</x:v>
      </x:c>
      <x:c r="E834" s="1" t="n">
        <x:v>11</x:v>
      </x:c>
    </x:row>
    <x:row r="835">
      <x:c r="A835" t="str">
        <x:v>MILPA ALTA</x:v>
      </x:c>
      <x:c r="B835" t="str">
        <x:v>Tezompa</x:v>
      </x:c>
      <x:c r="C835" t="str">
        <x:v>Hombre</x:v>
      </x:c>
      <x:c r="D835" t="str">
        <x:v>f) 25 a 29 años</x:v>
      </x:c>
      <x:c r="E835" s="1" t="n">
        <x:v>15</x:v>
      </x:c>
    </x:row>
    <x:row r="836">
      <x:c r="A836" t="str">
        <x:v>MILPA ALTA</x:v>
      </x:c>
      <x:c r="B836" t="str">
        <x:v>Tezompa</x:v>
      </x:c>
      <x:c r="C836" t="str">
        <x:v>Hombre</x:v>
      </x:c>
      <x:c r="D836" t="str">
        <x:v>g) 30 a 34 años</x:v>
      </x:c>
      <x:c r="E836" s="1" t="n">
        <x:v>7</x:v>
      </x:c>
    </x:row>
    <x:row r="837">
      <x:c r="A837" t="str">
        <x:v>MILPA ALTA</x:v>
      </x:c>
      <x:c r="B837" t="str">
        <x:v>Tezompa</x:v>
      </x:c>
      <x:c r="C837" t="str">
        <x:v>Hombre</x:v>
      </x:c>
      <x:c r="D837" t="str">
        <x:v>h) 35 a 39 años</x:v>
      </x:c>
      <x:c r="E837" s="1" t="n">
        <x:v>10</x:v>
      </x:c>
    </x:row>
    <x:row r="838">
      <x:c r="A838" t="str">
        <x:v>MILPA ALTA</x:v>
      </x:c>
      <x:c r="B838" t="str">
        <x:v>Tezompa</x:v>
      </x:c>
      <x:c r="C838" t="str">
        <x:v>Hombre</x:v>
      </x:c>
      <x:c r="D838" t="str">
        <x:v>i) 40 a 44 años</x:v>
      </x:c>
      <x:c r="E838" s="1" t="n">
        <x:v>4</x:v>
      </x:c>
    </x:row>
    <x:row r="839">
      <x:c r="A839" t="str">
        <x:v>MILPA ALTA</x:v>
      </x:c>
      <x:c r="B839" t="str">
        <x:v>Tezompa</x:v>
      </x:c>
      <x:c r="C839" t="str">
        <x:v>Hombre</x:v>
      </x:c>
      <x:c r="D839" t="str">
        <x:v>j) 45 a 49 años</x:v>
      </x:c>
      <x:c r="E839" s="1" t="n">
        <x:v>6</x:v>
      </x:c>
    </x:row>
    <x:row r="840">
      <x:c r="A840" t="str">
        <x:v>MILPA ALTA</x:v>
      </x:c>
      <x:c r="B840" t="str">
        <x:v>Tezompa</x:v>
      </x:c>
      <x:c r="C840" t="str">
        <x:v>Hombre</x:v>
      </x:c>
      <x:c r="D840" t="str">
        <x:v>k) 50 a 54 años</x:v>
      </x:c>
      <x:c r="E840" s="1" t="n">
        <x:v>8</x:v>
      </x:c>
    </x:row>
    <x:row r="841">
      <x:c r="A841" t="str">
        <x:v>MILPA ALTA</x:v>
      </x:c>
      <x:c r="B841" t="str">
        <x:v>Tezompa</x:v>
      </x:c>
      <x:c r="C841" t="str">
        <x:v>Hombre</x:v>
      </x:c>
      <x:c r="D841" t="str">
        <x:v>l) 55 a 59 años</x:v>
      </x:c>
      <x:c r="E841" s="1" t="n">
        <x:v>3</x:v>
      </x:c>
    </x:row>
    <x:row r="842">
      <x:c r="A842" t="str">
        <x:v>MILPA ALTA</x:v>
      </x:c>
      <x:c r="B842" t="str">
        <x:v>Tezompa</x:v>
      </x:c>
      <x:c r="C842" t="str">
        <x:v>Hombre</x:v>
      </x:c>
      <x:c r="D842" t="str">
        <x:v>m) 60 a 64 años</x:v>
      </x:c>
      <x:c r="E842" s="1" t="n">
        <x:v>4</x:v>
      </x:c>
    </x:row>
    <x:row r="843">
      <x:c r="A843" t="str">
        <x:v>MILPA ALTA</x:v>
      </x:c>
      <x:c r="B843" t="str">
        <x:v>Tezompa</x:v>
      </x:c>
      <x:c r="C843" t="str">
        <x:v>Hombre</x:v>
      </x:c>
      <x:c r="D843" t="str">
        <x:v>n) 65 a 69 años</x:v>
      </x:c>
      <x:c r="E843" s="1" t="n">
        <x:v>2</x:v>
      </x:c>
    </x:row>
    <x:row r="844">
      <x:c r="A844" t="str">
        <x:v>MILPA ALTA</x:v>
      </x:c>
      <x:c r="B844" t="str">
        <x:v>Tezompa</x:v>
      </x:c>
      <x:c r="C844" t="str">
        <x:v>Hombre</x:v>
      </x:c>
      <x:c r="D844" t="str">
        <x:v>o) 70 a 74 años</x:v>
      </x:c>
      <x:c r="E844" s="1" t="n">
        <x:v>0</x:v>
      </x:c>
    </x:row>
    <x:row r="845">
      <x:c r="A845" t="str">
        <x:v>MILPA ALTA</x:v>
      </x:c>
      <x:c r="B845" t="str">
        <x:v>Tezompa</x:v>
      </x:c>
      <x:c r="C845" t="str">
        <x:v>Hombre</x:v>
      </x:c>
      <x:c r="D845" t="str">
        <x:v>p) 75 a 79 años</x:v>
      </x:c>
      <x:c r="E845" s="1" t="n">
        <x:v>1</x:v>
      </x:c>
    </x:row>
    <x:row r="846">
      <x:c r="A846" t="str">
        <x:v>MILPA ALTA</x:v>
      </x:c>
      <x:c r="B846" t="str">
        <x:v>Tezompa</x:v>
      </x:c>
      <x:c r="C846" t="str">
        <x:v>Hombre</x:v>
      </x:c>
      <x:c r="D846" t="str">
        <x:v>q) 80 a 84 años</x:v>
      </x:c>
      <x:c r="E846" s="1" t="n">
        <x:v>0</x:v>
      </x:c>
    </x:row>
    <x:row r="847">
      <x:c r="A847" t="str">
        <x:v>MILPA ALTA</x:v>
      </x:c>
      <x:c r="B847" t="str">
        <x:v>Tezompa</x:v>
      </x:c>
      <x:c r="C847" t="str">
        <x:v>Hombre</x:v>
      </x:c>
      <x:c r="D847" t="str">
        <x:v>r) 85 años y más</x:v>
      </x:c>
      <x:c r="E847" s="1" t="n">
        <x:v>0</x:v>
      </x:c>
    </x:row>
    <x:row r="848">
      <x:c r="A848" t="str">
        <x:v>MILPA ALTA</x:v>
      </x:c>
      <x:c r="B848" t="str">
        <x:v>Tezompa</x:v>
      </x:c>
      <x:c r="C848" t="str">
        <x:v>Mujer</x:v>
      </x:c>
      <x:c r="D848" t="str">
        <x:v>a) 0 a 4 años</x:v>
      </x:c>
      <x:c r="E848" s="1" t="n">
        <x:v>16</x:v>
      </x:c>
    </x:row>
    <x:row r="849">
      <x:c r="A849" t="str">
        <x:v>MILPA ALTA</x:v>
      </x:c>
      <x:c r="B849" t="str">
        <x:v>Tezompa</x:v>
      </x:c>
      <x:c r="C849" t="str">
        <x:v>Mujer</x:v>
      </x:c>
      <x:c r="D849" t="str">
        <x:v>b) 5 a 9 años</x:v>
      </x:c>
      <x:c r="E849" s="1" t="n">
        <x:v>11</x:v>
      </x:c>
    </x:row>
    <x:row r="850">
      <x:c r="A850" t="str">
        <x:v>MILPA ALTA</x:v>
      </x:c>
      <x:c r="B850" t="str">
        <x:v>Tezompa</x:v>
      </x:c>
      <x:c r="C850" t="str">
        <x:v>Mujer</x:v>
      </x:c>
      <x:c r="D850" t="str">
        <x:v>c) 10 a 14 años</x:v>
      </x:c>
      <x:c r="E850" s="1" t="n">
        <x:v>9</x:v>
      </x:c>
    </x:row>
    <x:row r="851">
      <x:c r="A851" t="str">
        <x:v>MILPA ALTA</x:v>
      </x:c>
      <x:c r="B851" t="str">
        <x:v>Tezompa</x:v>
      </x:c>
      <x:c r="C851" t="str">
        <x:v>Mujer</x:v>
      </x:c>
      <x:c r="D851" t="str">
        <x:v>d) 15 a 19 años</x:v>
      </x:c>
      <x:c r="E851" s="1" t="n">
        <x:v>13</x:v>
      </x:c>
    </x:row>
    <x:row r="852">
      <x:c r="A852" t="str">
        <x:v>MILPA ALTA</x:v>
      </x:c>
      <x:c r="B852" t="str">
        <x:v>Tezompa</x:v>
      </x:c>
      <x:c r="C852" t="str">
        <x:v>Mujer</x:v>
      </x:c>
      <x:c r="D852" t="str">
        <x:v>e) 20 a 24 años</x:v>
      </x:c>
      <x:c r="E852" s="1" t="n">
        <x:v>15</x:v>
      </x:c>
    </x:row>
    <x:row r="853">
      <x:c r="A853" t="str">
        <x:v>MILPA ALTA</x:v>
      </x:c>
      <x:c r="B853" t="str">
        <x:v>Tezompa</x:v>
      </x:c>
      <x:c r="C853" t="str">
        <x:v>Mujer</x:v>
      </x:c>
      <x:c r="D853" t="str">
        <x:v>f) 25 a 29 años</x:v>
      </x:c>
      <x:c r="E853" s="1" t="n">
        <x:v>10</x:v>
      </x:c>
    </x:row>
    <x:row r="854">
      <x:c r="A854" t="str">
        <x:v>MILPA ALTA</x:v>
      </x:c>
      <x:c r="B854" t="str">
        <x:v>Tezompa</x:v>
      </x:c>
      <x:c r="C854" t="str">
        <x:v>Mujer</x:v>
      </x:c>
      <x:c r="D854" t="str">
        <x:v>g) 30 a 34 años</x:v>
      </x:c>
      <x:c r="E854" s="1" t="n">
        <x:v>10</x:v>
      </x:c>
    </x:row>
    <x:row r="855">
      <x:c r="A855" t="str">
        <x:v>MILPA ALTA</x:v>
      </x:c>
      <x:c r="B855" t="str">
        <x:v>Tezompa</x:v>
      </x:c>
      <x:c r="C855" t="str">
        <x:v>Mujer</x:v>
      </x:c>
      <x:c r="D855" t="str">
        <x:v>h) 35 a 39 años</x:v>
      </x:c>
      <x:c r="E855" s="1" t="n">
        <x:v>7</x:v>
      </x:c>
    </x:row>
    <x:row r="856">
      <x:c r="A856" t="str">
        <x:v>MILPA ALTA</x:v>
      </x:c>
      <x:c r="B856" t="str">
        <x:v>Tezompa</x:v>
      </x:c>
      <x:c r="C856" t="str">
        <x:v>Mujer</x:v>
      </x:c>
      <x:c r="D856" t="str">
        <x:v>i) 40 a 44 años</x:v>
      </x:c>
      <x:c r="E856" s="1" t="n">
        <x:v>9</x:v>
      </x:c>
    </x:row>
    <x:row r="857">
      <x:c r="A857" t="str">
        <x:v>MILPA ALTA</x:v>
      </x:c>
      <x:c r="B857" t="str">
        <x:v>Tezompa</x:v>
      </x:c>
      <x:c r="C857" t="str">
        <x:v>Mujer</x:v>
      </x:c>
      <x:c r="D857" t="str">
        <x:v>j) 45 a 49 años</x:v>
      </x:c>
      <x:c r="E857" s="1" t="n">
        <x:v>3</x:v>
      </x:c>
    </x:row>
    <x:row r="858">
      <x:c r="A858" t="str">
        <x:v>MILPA ALTA</x:v>
      </x:c>
      <x:c r="B858" t="str">
        <x:v>Tezompa</x:v>
      </x:c>
      <x:c r="C858" t="str">
        <x:v>Mujer</x:v>
      </x:c>
      <x:c r="D858" t="str">
        <x:v>k) 50 a 54 años</x:v>
      </x:c>
      <x:c r="E858" s="1" t="n">
        <x:v>5</x:v>
      </x:c>
    </x:row>
    <x:row r="859">
      <x:c r="A859" t="str">
        <x:v>MILPA ALTA</x:v>
      </x:c>
      <x:c r="B859" t="str">
        <x:v>Tezompa</x:v>
      </x:c>
      <x:c r="C859" t="str">
        <x:v>Mujer</x:v>
      </x:c>
      <x:c r="D859" t="str">
        <x:v>l) 55 a 59 años</x:v>
      </x:c>
      <x:c r="E859" s="1" t="n">
        <x:v>6</x:v>
      </x:c>
    </x:row>
    <x:row r="860">
      <x:c r="A860" t="str">
        <x:v>MILPA ALTA</x:v>
      </x:c>
      <x:c r="B860" t="str">
        <x:v>Tezompa</x:v>
      </x:c>
      <x:c r="C860" t="str">
        <x:v>Mujer</x:v>
      </x:c>
      <x:c r="D860" t="str">
        <x:v>m) 60 a 64 años</x:v>
      </x:c>
      <x:c r="E860" s="1" t="n">
        <x:v>4</x:v>
      </x:c>
    </x:row>
    <x:row r="861">
      <x:c r="A861" t="str">
        <x:v>MILPA ALTA</x:v>
      </x:c>
      <x:c r="B861" t="str">
        <x:v>Tezompa</x:v>
      </x:c>
      <x:c r="C861" t="str">
        <x:v>Mujer</x:v>
      </x:c>
      <x:c r="D861" t="str">
        <x:v>n) 65 a 69 años</x:v>
      </x:c>
      <x:c r="E861" s="1" t="n">
        <x:v>1</x:v>
      </x:c>
    </x:row>
    <x:row r="862">
      <x:c r="A862" t="str">
        <x:v>MILPA ALTA</x:v>
      </x:c>
      <x:c r="B862" t="str">
        <x:v>Tezompa</x:v>
      </x:c>
      <x:c r="C862" t="str">
        <x:v>Mujer</x:v>
      </x:c>
      <x:c r="D862" t="str">
        <x:v>o) 70 a 74 años</x:v>
      </x:c>
      <x:c r="E862" s="1" t="n">
        <x:v>1</x:v>
      </x:c>
    </x:row>
    <x:row r="863">
      <x:c r="A863" t="str">
        <x:v>MILPA ALTA</x:v>
      </x:c>
      <x:c r="B863" t="str">
        <x:v>Tezompa</x:v>
      </x:c>
      <x:c r="C863" t="str">
        <x:v>Mujer</x:v>
      </x:c>
      <x:c r="D863" t="str">
        <x:v>p) 75 a 79 años</x:v>
      </x:c>
      <x:c r="E863" s="1" t="n">
        <x:v>1</x:v>
      </x:c>
    </x:row>
    <x:row r="864">
      <x:c r="A864" t="str">
        <x:v>MILPA ALTA</x:v>
      </x:c>
      <x:c r="B864" t="str">
        <x:v>Tezompa</x:v>
      </x:c>
      <x:c r="C864" t="str">
        <x:v>Mujer</x:v>
      </x:c>
      <x:c r="D864" t="str">
        <x:v>q) 80 a 84 años</x:v>
      </x:c>
      <x:c r="E864" s="1" t="n">
        <x:v>0</x:v>
      </x:c>
    </x:row>
    <x:row r="865">
      <x:c r="A865" t="str">
        <x:v>MILPA ALTA</x:v>
      </x:c>
      <x:c r="B865" t="str">
        <x:v>Tezompa</x:v>
      </x:c>
      <x:c r="C865" t="str">
        <x:v>Mujer</x:v>
      </x:c>
      <x:c r="D865" t="str">
        <x:v>r) 85 años y más</x:v>
      </x:c>
      <x:c r="E865" s="1" t="n">
        <x:v>0</x:v>
      </x:c>
    </x:row>
    <x:row r="866">
      <x:c r="A866" t="str">
        <x:v>MILPA ALTA</x:v>
      </x:c>
      <x:c r="B866" t="str">
        <x:v>San Lorenzo Tlacoyucan</x:v>
      </x:c>
      <x:c r="C866" t="str">
        <x:v>Hombre</x:v>
      </x:c>
      <x:c r="D866" t="str">
        <x:v>a) 0 a 4 años</x:v>
      </x:c>
      <x:c r="E866" s="1" t="n">
        <x:v>152</x:v>
      </x:c>
    </x:row>
    <x:row r="867">
      <x:c r="A867" t="str">
        <x:v>MILPA ALTA</x:v>
      </x:c>
      <x:c r="B867" t="str">
        <x:v>San Lorenzo Tlacoyucan</x:v>
      </x:c>
      <x:c r="C867" t="str">
        <x:v>Hombre</x:v>
      </x:c>
      <x:c r="D867" t="str">
        <x:v>b) 5 a 9 años</x:v>
      </x:c>
      <x:c r="E867" s="1" t="n">
        <x:v>189</x:v>
      </x:c>
    </x:row>
    <x:row r="868">
      <x:c r="A868" t="str">
        <x:v>MILPA ALTA</x:v>
      </x:c>
      <x:c r="B868" t="str">
        <x:v>San Lorenzo Tlacoyucan</x:v>
      </x:c>
      <x:c r="C868" t="str">
        <x:v>Hombre</x:v>
      </x:c>
      <x:c r="D868" t="str">
        <x:v>c) 10 a 14 años</x:v>
      </x:c>
      <x:c r="E868" s="1" t="n">
        <x:v>191</x:v>
      </x:c>
    </x:row>
    <x:row r="869">
      <x:c r="A869" t="str">
        <x:v>MILPA ALTA</x:v>
      </x:c>
      <x:c r="B869" t="str">
        <x:v>San Lorenzo Tlacoyucan</x:v>
      </x:c>
      <x:c r="C869" t="str">
        <x:v>Hombre</x:v>
      </x:c>
      <x:c r="D869" t="str">
        <x:v>d) 15 a 19 años</x:v>
      </x:c>
      <x:c r="E869" s="1" t="n">
        <x:v>174</x:v>
      </x:c>
    </x:row>
    <x:row r="870">
      <x:c r="A870" t="str">
        <x:v>MILPA ALTA</x:v>
      </x:c>
      <x:c r="B870" t="str">
        <x:v>San Lorenzo Tlacoyucan</x:v>
      </x:c>
      <x:c r="C870" t="str">
        <x:v>Hombre</x:v>
      </x:c>
      <x:c r="D870" t="str">
        <x:v>e) 20 a 24 años</x:v>
      </x:c>
      <x:c r="E870" s="1" t="n">
        <x:v>174</x:v>
      </x:c>
    </x:row>
    <x:row r="871">
      <x:c r="A871" t="str">
        <x:v>MILPA ALTA</x:v>
      </x:c>
      <x:c r="B871" t="str">
        <x:v>San Lorenzo Tlacoyucan</x:v>
      </x:c>
      <x:c r="C871" t="str">
        <x:v>Hombre</x:v>
      </x:c>
      <x:c r="D871" t="str">
        <x:v>f) 25 a 29 años</x:v>
      </x:c>
      <x:c r="E871" s="1" t="n">
        <x:v>178</x:v>
      </x:c>
    </x:row>
    <x:row r="872">
      <x:c r="A872" t="str">
        <x:v>MILPA ALTA</x:v>
      </x:c>
      <x:c r="B872" t="str">
        <x:v>San Lorenzo Tlacoyucan</x:v>
      </x:c>
      <x:c r="C872" t="str">
        <x:v>Hombre</x:v>
      </x:c>
      <x:c r="D872" t="str">
        <x:v>g) 30 a 34 años</x:v>
      </x:c>
      <x:c r="E872" s="1" t="n">
        <x:v>174</x:v>
      </x:c>
    </x:row>
    <x:row r="873">
      <x:c r="A873" t="str">
        <x:v>MILPA ALTA</x:v>
      </x:c>
      <x:c r="B873" t="str">
        <x:v>San Lorenzo Tlacoyucan</x:v>
      </x:c>
      <x:c r="C873" t="str">
        <x:v>Hombre</x:v>
      </x:c>
      <x:c r="D873" t="str">
        <x:v>h) 35 a 39 años</x:v>
      </x:c>
      <x:c r="E873" s="1" t="n">
        <x:v>152</x:v>
      </x:c>
    </x:row>
    <x:row r="874">
      <x:c r="A874" t="str">
        <x:v>MILPA ALTA</x:v>
      </x:c>
      <x:c r="B874" t="str">
        <x:v>San Lorenzo Tlacoyucan</x:v>
      </x:c>
      <x:c r="C874" t="str">
        <x:v>Hombre</x:v>
      </x:c>
      <x:c r="D874" t="str">
        <x:v>i) 40 a 44 años</x:v>
      </x:c>
      <x:c r="E874" s="1" t="n">
        <x:v>154</x:v>
      </x:c>
    </x:row>
    <x:row r="875">
      <x:c r="A875" t="str">
        <x:v>MILPA ALTA</x:v>
      </x:c>
      <x:c r="B875" t="str">
        <x:v>San Lorenzo Tlacoyucan</x:v>
      </x:c>
      <x:c r="C875" t="str">
        <x:v>Hombre</x:v>
      </x:c>
      <x:c r="D875" t="str">
        <x:v>j) 45 a 49 años</x:v>
      </x:c>
      <x:c r="E875" s="1" t="n">
        <x:v>125</x:v>
      </x:c>
    </x:row>
    <x:row r="876">
      <x:c r="A876" t="str">
        <x:v>MILPA ALTA</x:v>
      </x:c>
      <x:c r="B876" t="str">
        <x:v>San Lorenzo Tlacoyucan</x:v>
      </x:c>
      <x:c r="C876" t="str">
        <x:v>Hombre</x:v>
      </x:c>
      <x:c r="D876" t="str">
        <x:v>k) 50 a 54 años</x:v>
      </x:c>
      <x:c r="E876" s="1" t="n">
        <x:v>119</x:v>
      </x:c>
    </x:row>
    <x:row r="877">
      <x:c r="A877" t="str">
        <x:v>MILPA ALTA</x:v>
      </x:c>
      <x:c r="B877" t="str">
        <x:v>San Lorenzo Tlacoyucan</x:v>
      </x:c>
      <x:c r="C877" t="str">
        <x:v>Hombre</x:v>
      </x:c>
      <x:c r="D877" t="str">
        <x:v>l) 55 a 59 años</x:v>
      </x:c>
      <x:c r="E877" s="1" t="n">
        <x:v>84</x:v>
      </x:c>
    </x:row>
    <x:row r="878">
      <x:c r="A878" t="str">
        <x:v>MILPA ALTA</x:v>
      </x:c>
      <x:c r="B878" t="str">
        <x:v>San Lorenzo Tlacoyucan</x:v>
      </x:c>
      <x:c r="C878" t="str">
        <x:v>Hombre</x:v>
      </x:c>
      <x:c r="D878" t="str">
        <x:v>m) 60 a 64 años</x:v>
      </x:c>
      <x:c r="E878" s="1" t="n">
        <x:v>89</x:v>
      </x:c>
    </x:row>
    <x:row r="879">
      <x:c r="A879" t="str">
        <x:v>MILPA ALTA</x:v>
      </x:c>
      <x:c r="B879" t="str">
        <x:v>San Lorenzo Tlacoyucan</x:v>
      </x:c>
      <x:c r="C879" t="str">
        <x:v>Hombre</x:v>
      </x:c>
      <x:c r="D879" t="str">
        <x:v>n) 65 a 69 años</x:v>
      </x:c>
      <x:c r="E879" s="1" t="n">
        <x:v>50</x:v>
      </x:c>
    </x:row>
    <x:row r="880">
      <x:c r="A880" t="str">
        <x:v>MILPA ALTA</x:v>
      </x:c>
      <x:c r="B880" t="str">
        <x:v>San Lorenzo Tlacoyucan</x:v>
      </x:c>
      <x:c r="C880" t="str">
        <x:v>Hombre</x:v>
      </x:c>
      <x:c r="D880" t="str">
        <x:v>o) 70 a 74 años</x:v>
      </x:c>
      <x:c r="E880" s="1" t="n">
        <x:v>40</x:v>
      </x:c>
    </x:row>
    <x:row r="881">
      <x:c r="A881" t="str">
        <x:v>MILPA ALTA</x:v>
      </x:c>
      <x:c r="B881" t="str">
        <x:v>San Lorenzo Tlacoyucan</x:v>
      </x:c>
      <x:c r="C881" t="str">
        <x:v>Hombre</x:v>
      </x:c>
      <x:c r="D881" t="str">
        <x:v>p) 75 a 79 años</x:v>
      </x:c>
      <x:c r="E881" s="1" t="n">
        <x:v>26</x:v>
      </x:c>
    </x:row>
    <x:row r="882">
      <x:c r="A882" t="str">
        <x:v>MILPA ALTA</x:v>
      </x:c>
      <x:c r="B882" t="str">
        <x:v>San Lorenzo Tlacoyucan</x:v>
      </x:c>
      <x:c r="C882" t="str">
        <x:v>Hombre</x:v>
      </x:c>
      <x:c r="D882" t="str">
        <x:v>q) 80 a 84 años</x:v>
      </x:c>
      <x:c r="E882" s="1" t="n">
        <x:v>15</x:v>
      </x:c>
    </x:row>
    <x:row r="883">
      <x:c r="A883" t="str">
        <x:v>MILPA ALTA</x:v>
      </x:c>
      <x:c r="B883" t="str">
        <x:v>San Lorenzo Tlacoyucan</x:v>
      </x:c>
      <x:c r="C883" t="str">
        <x:v>Hombre</x:v>
      </x:c>
      <x:c r="D883" t="str">
        <x:v>r) 85 años y más</x:v>
      </x:c>
      <x:c r="E883" s="1" t="n">
        <x:v>16</x:v>
      </x:c>
    </x:row>
    <x:row r="884">
      <x:c r="A884" t="str">
        <x:v>MILPA ALTA</x:v>
      </x:c>
      <x:c r="B884" t="str">
        <x:v>San Lorenzo Tlacoyucan</x:v>
      </x:c>
      <x:c r="C884" t="str">
        <x:v>Mujer</x:v>
      </x:c>
      <x:c r="D884" t="str">
        <x:v>a) 0 a 4 años</x:v>
      </x:c>
      <x:c r="E884" s="1" t="n">
        <x:v>161</x:v>
      </x:c>
    </x:row>
    <x:row r="885">
      <x:c r="A885" t="str">
        <x:v>MILPA ALTA</x:v>
      </x:c>
      <x:c r="B885" t="str">
        <x:v>San Lorenzo Tlacoyucan</x:v>
      </x:c>
      <x:c r="C885" t="str">
        <x:v>Mujer</x:v>
      </x:c>
      <x:c r="D885" t="str">
        <x:v>b) 5 a 9 años</x:v>
      </x:c>
      <x:c r="E885" s="1" t="n">
        <x:v>190</x:v>
      </x:c>
    </x:row>
    <x:row r="886">
      <x:c r="A886" t="str">
        <x:v>MILPA ALTA</x:v>
      </x:c>
      <x:c r="B886" t="str">
        <x:v>San Lorenzo Tlacoyucan</x:v>
      </x:c>
      <x:c r="C886" t="str">
        <x:v>Mujer</x:v>
      </x:c>
      <x:c r="D886" t="str">
        <x:v>c) 10 a 14 años</x:v>
      </x:c>
      <x:c r="E886" s="1" t="n">
        <x:v>155</x:v>
      </x:c>
    </x:row>
    <x:row r="887">
      <x:c r="A887" t="str">
        <x:v>MILPA ALTA</x:v>
      </x:c>
      <x:c r="B887" t="str">
        <x:v>San Lorenzo Tlacoyucan</x:v>
      </x:c>
      <x:c r="C887" t="str">
        <x:v>Mujer</x:v>
      </x:c>
      <x:c r="D887" t="str">
        <x:v>d) 15 a 19 años</x:v>
      </x:c>
      <x:c r="E887" s="1" t="n">
        <x:v>160</x:v>
      </x:c>
    </x:row>
    <x:row r="888">
      <x:c r="A888" t="str">
        <x:v>MILPA ALTA</x:v>
      </x:c>
      <x:c r="B888" t="str">
        <x:v>San Lorenzo Tlacoyucan</x:v>
      </x:c>
      <x:c r="C888" t="str">
        <x:v>Mujer</x:v>
      </x:c>
      <x:c r="D888" t="str">
        <x:v>e) 20 a 24 años</x:v>
      </x:c>
      <x:c r="E888" s="1" t="n">
        <x:v>184</x:v>
      </x:c>
    </x:row>
    <x:row r="889">
      <x:c r="A889" t="str">
        <x:v>MILPA ALTA</x:v>
      </x:c>
      <x:c r="B889" t="str">
        <x:v>San Lorenzo Tlacoyucan</x:v>
      </x:c>
      <x:c r="C889" t="str">
        <x:v>Mujer</x:v>
      </x:c>
      <x:c r="D889" t="str">
        <x:v>f) 25 a 29 años</x:v>
      </x:c>
      <x:c r="E889" s="1" t="n">
        <x:v>196</x:v>
      </x:c>
    </x:row>
    <x:row r="890">
      <x:c r="A890" t="str">
        <x:v>MILPA ALTA</x:v>
      </x:c>
      <x:c r="B890" t="str">
        <x:v>San Lorenzo Tlacoyucan</x:v>
      </x:c>
      <x:c r="C890" t="str">
        <x:v>Mujer</x:v>
      </x:c>
      <x:c r="D890" t="str">
        <x:v>g) 30 a 34 años</x:v>
      </x:c>
      <x:c r="E890" s="1" t="n">
        <x:v>183</x:v>
      </x:c>
    </x:row>
    <x:row r="891">
      <x:c r="A891" t="str">
        <x:v>MILPA ALTA</x:v>
      </x:c>
      <x:c r="B891" t="str">
        <x:v>San Lorenzo Tlacoyucan</x:v>
      </x:c>
      <x:c r="C891" t="str">
        <x:v>Mujer</x:v>
      </x:c>
      <x:c r="D891" t="str">
        <x:v>h) 35 a 39 años</x:v>
      </x:c>
      <x:c r="E891" s="1" t="n">
        <x:v>177</x:v>
      </x:c>
    </x:row>
    <x:row r="892">
      <x:c r="A892" t="str">
        <x:v>MILPA ALTA</x:v>
      </x:c>
      <x:c r="B892" t="str">
        <x:v>San Lorenzo Tlacoyucan</x:v>
      </x:c>
      <x:c r="C892" t="str">
        <x:v>Mujer</x:v>
      </x:c>
      <x:c r="D892" t="str">
        <x:v>i) 40 a 44 años</x:v>
      </x:c>
      <x:c r="E892" s="1" t="n">
        <x:v>148</x:v>
      </x:c>
    </x:row>
    <x:row r="893">
      <x:c r="A893" t="str">
        <x:v>MILPA ALTA</x:v>
      </x:c>
      <x:c r="B893" t="str">
        <x:v>San Lorenzo Tlacoyucan</x:v>
      </x:c>
      <x:c r="C893" t="str">
        <x:v>Mujer</x:v>
      </x:c>
      <x:c r="D893" t="str">
        <x:v>j) 45 a 49 años</x:v>
      </x:c>
      <x:c r="E893" s="1" t="n">
        <x:v>133</x:v>
      </x:c>
    </x:row>
    <x:row r="894">
      <x:c r="A894" t="str">
        <x:v>MILPA ALTA</x:v>
      </x:c>
      <x:c r="B894" t="str">
        <x:v>San Lorenzo Tlacoyucan</x:v>
      </x:c>
      <x:c r="C894" t="str">
        <x:v>Mujer</x:v>
      </x:c>
      <x:c r="D894" t="str">
        <x:v>k) 50 a 54 años</x:v>
      </x:c>
      <x:c r="E894" s="1" t="n">
        <x:v>137</x:v>
      </x:c>
    </x:row>
    <x:row r="895">
      <x:c r="A895" t="str">
        <x:v>MILPA ALTA</x:v>
      </x:c>
      <x:c r="B895" t="str">
        <x:v>San Lorenzo Tlacoyucan</x:v>
      </x:c>
      <x:c r="C895" t="str">
        <x:v>Mujer</x:v>
      </x:c>
      <x:c r="D895" t="str">
        <x:v>l) 55 a 59 años</x:v>
      </x:c>
      <x:c r="E895" s="1" t="n">
        <x:v>103</x:v>
      </x:c>
    </x:row>
    <x:row r="896">
      <x:c r="A896" t="str">
        <x:v>MILPA ALTA</x:v>
      </x:c>
      <x:c r="B896" t="str">
        <x:v>San Lorenzo Tlacoyucan</x:v>
      </x:c>
      <x:c r="C896" t="str">
        <x:v>Mujer</x:v>
      </x:c>
      <x:c r="D896" t="str">
        <x:v>m) 60 a 64 años</x:v>
      </x:c>
      <x:c r="E896" s="1" t="n">
        <x:v>76</x:v>
      </x:c>
    </x:row>
    <x:row r="897">
      <x:c r="A897" t="str">
        <x:v>MILPA ALTA</x:v>
      </x:c>
      <x:c r="B897" t="str">
        <x:v>San Lorenzo Tlacoyucan</x:v>
      </x:c>
      <x:c r="C897" t="str">
        <x:v>Mujer</x:v>
      </x:c>
      <x:c r="D897" t="str">
        <x:v>n) 65 a 69 años</x:v>
      </x:c>
      <x:c r="E897" s="1" t="n">
        <x:v>66</x:v>
      </x:c>
    </x:row>
    <x:row r="898">
      <x:c r="A898" t="str">
        <x:v>MILPA ALTA</x:v>
      </x:c>
      <x:c r="B898" t="str">
        <x:v>San Lorenzo Tlacoyucan</x:v>
      </x:c>
      <x:c r="C898" t="str">
        <x:v>Mujer</x:v>
      </x:c>
      <x:c r="D898" t="str">
        <x:v>o) 70 a 74 años</x:v>
      </x:c>
      <x:c r="E898" s="1" t="n">
        <x:v>46</x:v>
      </x:c>
    </x:row>
    <x:row r="899">
      <x:c r="A899" t="str">
        <x:v>MILPA ALTA</x:v>
      </x:c>
      <x:c r="B899" t="str">
        <x:v>San Lorenzo Tlacoyucan</x:v>
      </x:c>
      <x:c r="C899" t="str">
        <x:v>Mujer</x:v>
      </x:c>
      <x:c r="D899" t="str">
        <x:v>p) 75 a 79 años</x:v>
      </x:c>
      <x:c r="E899" s="1" t="n">
        <x:v>33</x:v>
      </x:c>
    </x:row>
    <x:row r="900">
      <x:c r="A900" t="str">
        <x:v>MILPA ALTA</x:v>
      </x:c>
      <x:c r="B900" t="str">
        <x:v>San Lorenzo Tlacoyucan</x:v>
      </x:c>
      <x:c r="C900" t="str">
        <x:v>Mujer</x:v>
      </x:c>
      <x:c r="D900" t="str">
        <x:v>q) 80 a 84 años</x:v>
      </x:c>
      <x:c r="E900" s="1" t="n">
        <x:v>21</x:v>
      </x:c>
    </x:row>
    <x:row r="901">
      <x:c r="A901" t="str">
        <x:v>MILPA ALTA</x:v>
      </x:c>
      <x:c r="B901" t="str">
        <x:v>San Lorenzo Tlacoyucan</x:v>
      </x:c>
      <x:c r="C901" t="str">
        <x:v>Mujer</x:v>
      </x:c>
      <x:c r="D901" t="str">
        <x:v>r) 85 años y más</x:v>
      </x:c>
      <x:c r="E901" s="1" t="n">
        <x:v>17</x:v>
      </x:c>
    </x:row>
    <x:row r="902">
      <x:c r="A902" t="str">
        <x:v>MILPA ALTA</x:v>
      </x:c>
      <x:c r="B902" t="str">
        <x:v>Coametzu</x:v>
      </x:c>
      <x:c r="C902" t="str">
        <x:v>Hombre</x:v>
      </x:c>
      <x:c r="D902" t="str">
        <x:v>a) 0 a 4 años</x:v>
      </x:c>
      <x:c r="E902" s="1" t="n">
        <x:v>15</x:v>
      </x:c>
    </x:row>
    <x:row r="903">
      <x:c r="A903" t="str">
        <x:v>MILPA ALTA</x:v>
      </x:c>
      <x:c r="B903" t="str">
        <x:v>Coametzu</x:v>
      </x:c>
      <x:c r="C903" t="str">
        <x:v>Hombre</x:v>
      </x:c>
      <x:c r="D903" t="str">
        <x:v>b) 5 a 9 años</x:v>
      </x:c>
      <x:c r="E903" s="1" t="n">
        <x:v>17</x:v>
      </x:c>
    </x:row>
    <x:row r="904">
      <x:c r="A904" t="str">
        <x:v>MILPA ALTA</x:v>
      </x:c>
      <x:c r="B904" t="str">
        <x:v>Coametzu</x:v>
      </x:c>
      <x:c r="C904" t="str">
        <x:v>Hombre</x:v>
      </x:c>
      <x:c r="D904" t="str">
        <x:v>c) 10 a 14 años</x:v>
      </x:c>
      <x:c r="E904" s="1" t="n">
        <x:v>16</x:v>
      </x:c>
    </x:row>
    <x:row r="905">
      <x:c r="A905" t="str">
        <x:v>MILPA ALTA</x:v>
      </x:c>
      <x:c r="B905" t="str">
        <x:v>Coametzu</x:v>
      </x:c>
      <x:c r="C905" t="str">
        <x:v>Hombre</x:v>
      </x:c>
      <x:c r="D905" t="str">
        <x:v>d) 15 a 19 años</x:v>
      </x:c>
      <x:c r="E905" s="1" t="n">
        <x:v>21</x:v>
      </x:c>
    </x:row>
    <x:row r="906">
      <x:c r="A906" t="str">
        <x:v>MILPA ALTA</x:v>
      </x:c>
      <x:c r="B906" t="str">
        <x:v>Coametzu</x:v>
      </x:c>
      <x:c r="C906" t="str">
        <x:v>Hombre</x:v>
      </x:c>
      <x:c r="D906" t="str">
        <x:v>e) 20 a 24 años</x:v>
      </x:c>
      <x:c r="E906" s="1" t="n">
        <x:v>15</x:v>
      </x:c>
    </x:row>
    <x:row r="907">
      <x:c r="A907" t="str">
        <x:v>MILPA ALTA</x:v>
      </x:c>
      <x:c r="B907" t="str">
        <x:v>Coametzu</x:v>
      </x:c>
      <x:c r="C907" t="str">
        <x:v>Hombre</x:v>
      </x:c>
      <x:c r="D907" t="str">
        <x:v>f) 25 a 29 años</x:v>
      </x:c>
      <x:c r="E907" s="1" t="n">
        <x:v>11</x:v>
      </x:c>
    </x:row>
    <x:row r="908">
      <x:c r="A908" t="str">
        <x:v>MILPA ALTA</x:v>
      </x:c>
      <x:c r="B908" t="str">
        <x:v>Coametzu</x:v>
      </x:c>
      <x:c r="C908" t="str">
        <x:v>Hombre</x:v>
      </x:c>
      <x:c r="D908" t="str">
        <x:v>g) 30 a 34 años</x:v>
      </x:c>
      <x:c r="E908" s="1" t="n">
        <x:v>9</x:v>
      </x:c>
    </x:row>
    <x:row r="909">
      <x:c r="A909" t="str">
        <x:v>MILPA ALTA</x:v>
      </x:c>
      <x:c r="B909" t="str">
        <x:v>Coametzu</x:v>
      </x:c>
      <x:c r="C909" t="str">
        <x:v>Hombre</x:v>
      </x:c>
      <x:c r="D909" t="str">
        <x:v>h) 35 a 39 años</x:v>
      </x:c>
      <x:c r="E909" s="1" t="n">
        <x:v>4</x:v>
      </x:c>
    </x:row>
    <x:row r="910">
      <x:c r="A910" t="str">
        <x:v>MILPA ALTA</x:v>
      </x:c>
      <x:c r="B910" t="str">
        <x:v>Coametzu</x:v>
      </x:c>
      <x:c r="C910" t="str">
        <x:v>Hombre</x:v>
      </x:c>
      <x:c r="D910" t="str">
        <x:v>i) 40 a 44 años</x:v>
      </x:c>
      <x:c r="E910" s="1" t="n">
        <x:v>17</x:v>
      </x:c>
    </x:row>
    <x:row r="911">
      <x:c r="A911" t="str">
        <x:v>MILPA ALTA</x:v>
      </x:c>
      <x:c r="B911" t="str">
        <x:v>Coametzu</x:v>
      </x:c>
      <x:c r="C911" t="str">
        <x:v>Hombre</x:v>
      </x:c>
      <x:c r="D911" t="str">
        <x:v>j) 45 a 49 años</x:v>
      </x:c>
      <x:c r="E911" s="1" t="n">
        <x:v>11</x:v>
      </x:c>
    </x:row>
    <x:row r="912">
      <x:c r="A912" t="str">
        <x:v>MILPA ALTA</x:v>
      </x:c>
      <x:c r="B912" t="str">
        <x:v>Coametzu</x:v>
      </x:c>
      <x:c r="C912" t="str">
        <x:v>Hombre</x:v>
      </x:c>
      <x:c r="D912" t="str">
        <x:v>k) 50 a 54 años</x:v>
      </x:c>
      <x:c r="E912" s="1" t="n">
        <x:v>9</x:v>
      </x:c>
    </x:row>
    <x:row r="913">
      <x:c r="A913" t="str">
        <x:v>MILPA ALTA</x:v>
      </x:c>
      <x:c r="B913" t="str">
        <x:v>Coametzu</x:v>
      </x:c>
      <x:c r="C913" t="str">
        <x:v>Hombre</x:v>
      </x:c>
      <x:c r="D913" t="str">
        <x:v>l) 55 a 59 años</x:v>
      </x:c>
      <x:c r="E913" s="1" t="n">
        <x:v>4</x:v>
      </x:c>
    </x:row>
    <x:row r="914">
      <x:c r="A914" t="str">
        <x:v>MILPA ALTA</x:v>
      </x:c>
      <x:c r="B914" t="str">
        <x:v>Coametzu</x:v>
      </x:c>
      <x:c r="C914" t="str">
        <x:v>Hombre</x:v>
      </x:c>
      <x:c r="D914" t="str">
        <x:v>m) 60 a 64 años</x:v>
      </x:c>
      <x:c r="E914" s="1" t="n">
        <x:v>1</x:v>
      </x:c>
    </x:row>
    <x:row r="915">
      <x:c r="A915" t="str">
        <x:v>MILPA ALTA</x:v>
      </x:c>
      <x:c r="B915" t="str">
        <x:v>Coametzu</x:v>
      </x:c>
      <x:c r="C915" t="str">
        <x:v>Hombre</x:v>
      </x:c>
      <x:c r="D915" t="str">
        <x:v>n) 65 a 69 años</x:v>
      </x:c>
      <x:c r="E915" s="1" t="n">
        <x:v>1</x:v>
      </x:c>
    </x:row>
    <x:row r="916">
      <x:c r="A916" t="str">
        <x:v>MILPA ALTA</x:v>
      </x:c>
      <x:c r="B916" t="str">
        <x:v>Coametzu</x:v>
      </x:c>
      <x:c r="C916" t="str">
        <x:v>Hombre</x:v>
      </x:c>
      <x:c r="D916" t="str">
        <x:v>o) 70 a 74 años</x:v>
      </x:c>
      <x:c r="E916" s="1" t="n">
        <x:v>1</x:v>
      </x:c>
    </x:row>
    <x:row r="917">
      <x:c r="A917" t="str">
        <x:v>MILPA ALTA</x:v>
      </x:c>
      <x:c r="B917" t="str">
        <x:v>Coametzu</x:v>
      </x:c>
      <x:c r="C917" t="str">
        <x:v>Hombre</x:v>
      </x:c>
      <x:c r="D917" t="str">
        <x:v>p) 75 a 79 años</x:v>
      </x:c>
      <x:c r="E917" s="1" t="n">
        <x:v>2</x:v>
      </x:c>
    </x:row>
    <x:row r="918">
      <x:c r="A918" t="str">
        <x:v>MILPA ALTA</x:v>
      </x:c>
      <x:c r="B918" t="str">
        <x:v>Coametzu</x:v>
      </x:c>
      <x:c r="C918" t="str">
        <x:v>Hombre</x:v>
      </x:c>
      <x:c r="D918" t="str">
        <x:v>q) 80 a 84 años</x:v>
      </x:c>
      <x:c r="E918" s="1" t="n">
        <x:v>0</x:v>
      </x:c>
    </x:row>
    <x:row r="919">
      <x:c r="A919" t="str">
        <x:v>MILPA ALTA</x:v>
      </x:c>
      <x:c r="B919" t="str">
        <x:v>Coametzu</x:v>
      </x:c>
      <x:c r="C919" t="str">
        <x:v>Hombre</x:v>
      </x:c>
      <x:c r="D919" t="str">
        <x:v>r) 85 años y más</x:v>
      </x:c>
      <x:c r="E919" s="1" t="n">
        <x:v>0</x:v>
      </x:c>
    </x:row>
    <x:row r="920">
      <x:c r="A920" t="str">
        <x:v>MILPA ALTA</x:v>
      </x:c>
      <x:c r="B920" t="str">
        <x:v>Coametzu</x:v>
      </x:c>
      <x:c r="C920" t="str">
        <x:v>Mujer</x:v>
      </x:c>
      <x:c r="D920" t="str">
        <x:v>a) 0 a 4 años</x:v>
      </x:c>
      <x:c r="E920" s="1" t="n">
        <x:v>11</x:v>
      </x:c>
    </x:row>
    <x:row r="921">
      <x:c r="A921" t="str">
        <x:v>MILPA ALTA</x:v>
      </x:c>
      <x:c r="B921" t="str">
        <x:v>Coametzu</x:v>
      </x:c>
      <x:c r="C921" t="str">
        <x:v>Mujer</x:v>
      </x:c>
      <x:c r="D921" t="str">
        <x:v>b) 5 a 9 años</x:v>
      </x:c>
      <x:c r="E921" s="1" t="n">
        <x:v>14</x:v>
      </x:c>
    </x:row>
    <x:row r="922">
      <x:c r="A922" t="str">
        <x:v>MILPA ALTA</x:v>
      </x:c>
      <x:c r="B922" t="str">
        <x:v>Coametzu</x:v>
      </x:c>
      <x:c r="C922" t="str">
        <x:v>Mujer</x:v>
      </x:c>
      <x:c r="D922" t="str">
        <x:v>c) 10 a 14 años</x:v>
      </x:c>
      <x:c r="E922" s="1" t="n">
        <x:v>17</x:v>
      </x:c>
    </x:row>
    <x:row r="923">
      <x:c r="A923" t="str">
        <x:v>MILPA ALTA</x:v>
      </x:c>
      <x:c r="B923" t="str">
        <x:v>Coametzu</x:v>
      </x:c>
      <x:c r="C923" t="str">
        <x:v>Mujer</x:v>
      </x:c>
      <x:c r="D923" t="str">
        <x:v>d) 15 a 19 años</x:v>
      </x:c>
      <x:c r="E923" s="1" t="n">
        <x:v>17</x:v>
      </x:c>
    </x:row>
    <x:row r="924">
      <x:c r="A924" t="str">
        <x:v>MILPA ALTA</x:v>
      </x:c>
      <x:c r="B924" t="str">
        <x:v>Coametzu</x:v>
      </x:c>
      <x:c r="C924" t="str">
        <x:v>Mujer</x:v>
      </x:c>
      <x:c r="D924" t="str">
        <x:v>e) 20 a 24 años</x:v>
      </x:c>
      <x:c r="E924" s="1" t="n">
        <x:v>17</x:v>
      </x:c>
    </x:row>
    <x:row r="925">
      <x:c r="A925" t="str">
        <x:v>MILPA ALTA</x:v>
      </x:c>
      <x:c r="B925" t="str">
        <x:v>Coametzu</x:v>
      </x:c>
      <x:c r="C925" t="str">
        <x:v>Mujer</x:v>
      </x:c>
      <x:c r="D925" t="str">
        <x:v>f) 25 a 29 años</x:v>
      </x:c>
      <x:c r="E925" s="1" t="n">
        <x:v>13</x:v>
      </x:c>
    </x:row>
    <x:row r="926">
      <x:c r="A926" t="str">
        <x:v>MILPA ALTA</x:v>
      </x:c>
      <x:c r="B926" t="str">
        <x:v>Coametzu</x:v>
      </x:c>
      <x:c r="C926" t="str">
        <x:v>Mujer</x:v>
      </x:c>
      <x:c r="D926" t="str">
        <x:v>g) 30 a 34 años</x:v>
      </x:c>
      <x:c r="E926" s="1" t="n">
        <x:v>8</x:v>
      </x:c>
    </x:row>
    <x:row r="927">
      <x:c r="A927" t="str">
        <x:v>MILPA ALTA</x:v>
      </x:c>
      <x:c r="B927" t="str">
        <x:v>Coametzu</x:v>
      </x:c>
      <x:c r="C927" t="str">
        <x:v>Mujer</x:v>
      </x:c>
      <x:c r="D927" t="str">
        <x:v>h) 35 a 39 años</x:v>
      </x:c>
      <x:c r="E927" s="1" t="n">
        <x:v>12</x:v>
      </x:c>
    </x:row>
    <x:row r="928">
      <x:c r="A928" t="str">
        <x:v>MILPA ALTA</x:v>
      </x:c>
      <x:c r="B928" t="str">
        <x:v>Coametzu</x:v>
      </x:c>
      <x:c r="C928" t="str">
        <x:v>Mujer</x:v>
      </x:c>
      <x:c r="D928" t="str">
        <x:v>i) 40 a 44 años</x:v>
      </x:c>
      <x:c r="E928" s="1" t="n">
        <x:v>13</x:v>
      </x:c>
    </x:row>
    <x:row r="929">
      <x:c r="A929" t="str">
        <x:v>MILPA ALTA</x:v>
      </x:c>
      <x:c r="B929" t="str">
        <x:v>Coametzu</x:v>
      </x:c>
      <x:c r="C929" t="str">
        <x:v>Mujer</x:v>
      </x:c>
      <x:c r="D929" t="str">
        <x:v>j) 45 a 49 años</x:v>
      </x:c>
      <x:c r="E929" s="1" t="n">
        <x:v>11</x:v>
      </x:c>
    </x:row>
    <x:row r="930">
      <x:c r="A930" t="str">
        <x:v>MILPA ALTA</x:v>
      </x:c>
      <x:c r="B930" t="str">
        <x:v>Coametzu</x:v>
      </x:c>
      <x:c r="C930" t="str">
        <x:v>Mujer</x:v>
      </x:c>
      <x:c r="D930" t="str">
        <x:v>k) 50 a 54 años</x:v>
      </x:c>
      <x:c r="E930" s="1" t="n">
        <x:v>4</x:v>
      </x:c>
    </x:row>
    <x:row r="931">
      <x:c r="A931" t="str">
        <x:v>MILPA ALTA</x:v>
      </x:c>
      <x:c r="B931" t="str">
        <x:v>Coametzu</x:v>
      </x:c>
      <x:c r="C931" t="str">
        <x:v>Mujer</x:v>
      </x:c>
      <x:c r="D931" t="str">
        <x:v>l) 55 a 59 años</x:v>
      </x:c>
      <x:c r="E931" s="1" t="n">
        <x:v>5</x:v>
      </x:c>
    </x:row>
    <x:row r="932">
      <x:c r="A932" t="str">
        <x:v>MILPA ALTA</x:v>
      </x:c>
      <x:c r="B932" t="str">
        <x:v>Coametzu</x:v>
      </x:c>
      <x:c r="C932" t="str">
        <x:v>Mujer</x:v>
      </x:c>
      <x:c r="D932" t="str">
        <x:v>m) 60 a 64 años</x:v>
      </x:c>
      <x:c r="E932" s="1" t="n">
        <x:v>3</x:v>
      </x:c>
    </x:row>
    <x:row r="933">
      <x:c r="A933" t="str">
        <x:v>MILPA ALTA</x:v>
      </x:c>
      <x:c r="B933" t="str">
        <x:v>Coametzu</x:v>
      </x:c>
      <x:c r="C933" t="str">
        <x:v>Mujer</x:v>
      </x:c>
      <x:c r="D933" t="str">
        <x:v>n) 65 a 69 años</x:v>
      </x:c>
      <x:c r="E933" s="1" t="n">
        <x:v>0</x:v>
      </x:c>
    </x:row>
    <x:row r="934">
      <x:c r="A934" t="str">
        <x:v>MILPA ALTA</x:v>
      </x:c>
      <x:c r="B934" t="str">
        <x:v>Coametzu</x:v>
      </x:c>
      <x:c r="C934" t="str">
        <x:v>Mujer</x:v>
      </x:c>
      <x:c r="D934" t="str">
        <x:v>o) 70 a 74 años</x:v>
      </x:c>
      <x:c r="E934" s="1" t="n">
        <x:v>2</x:v>
      </x:c>
    </x:row>
    <x:row r="935">
      <x:c r="A935" t="str">
        <x:v>MILPA ALTA</x:v>
      </x:c>
      <x:c r="B935" t="str">
        <x:v>Coametzu</x:v>
      </x:c>
      <x:c r="C935" t="str">
        <x:v>Mujer</x:v>
      </x:c>
      <x:c r="D935" t="str">
        <x:v>p) 75 a 79 años</x:v>
      </x:c>
      <x:c r="E935" s="1" t="n">
        <x:v>1</x:v>
      </x:c>
    </x:row>
    <x:row r="936">
      <x:c r="A936" t="str">
        <x:v>MILPA ALTA</x:v>
      </x:c>
      <x:c r="B936" t="str">
        <x:v>Coametzu</x:v>
      </x:c>
      <x:c r="C936" t="str">
        <x:v>Mujer</x:v>
      </x:c>
      <x:c r="D936" t="str">
        <x:v>q) 80 a 84 años</x:v>
      </x:c>
      <x:c r="E936" s="1" t="n">
        <x:v>0</x:v>
      </x:c>
    </x:row>
    <x:row r="937">
      <x:c r="A937" t="str">
        <x:v>MILPA ALTA</x:v>
      </x:c>
      <x:c r="B937" t="str">
        <x:v>Coametzu</x:v>
      </x:c>
      <x:c r="C937" t="str">
        <x:v>Mujer</x:v>
      </x:c>
      <x:c r="D937" t="str">
        <x:v>r) 85 años y más</x:v>
      </x:c>
      <x:c r="E937" s="1" t="n">
        <x:v>0</x:v>
      </x:c>
    </x:row>
    <x:row r="938">
      <x:c r="A938" t="str">
        <x:v>MILPA ALTA</x:v>
      </x:c>
      <x:c r="B938" t="str">
        <x:v>Tepetenco</x:v>
      </x:c>
      <x:c r="C938" t="str">
        <x:v>Hombre</x:v>
      </x:c>
      <x:c r="D938" t="str">
        <x:v>a) 0 a 4 años</x:v>
      </x:c>
      <x:c r="E938" s="1" t="n">
        <x:v>10</x:v>
      </x:c>
    </x:row>
    <x:row r="939">
      <x:c r="A939" t="str">
        <x:v>MILPA ALTA</x:v>
      </x:c>
      <x:c r="B939" t="str">
        <x:v>Tepetenco</x:v>
      </x:c>
      <x:c r="C939" t="str">
        <x:v>Hombre</x:v>
      </x:c>
      <x:c r="D939" t="str">
        <x:v>b) 5 a 9 años</x:v>
      </x:c>
      <x:c r="E939" s="1" t="n">
        <x:v>11</x:v>
      </x:c>
    </x:row>
    <x:row r="940">
      <x:c r="A940" t="str">
        <x:v>MILPA ALTA</x:v>
      </x:c>
      <x:c r="B940" t="str">
        <x:v>Tepetenco</x:v>
      </x:c>
      <x:c r="C940" t="str">
        <x:v>Hombre</x:v>
      </x:c>
      <x:c r="D940" t="str">
        <x:v>c) 10 a 14 años</x:v>
      </x:c>
      <x:c r="E940" s="1" t="n">
        <x:v>16</x:v>
      </x:c>
    </x:row>
    <x:row r="941">
      <x:c r="A941" t="str">
        <x:v>MILPA ALTA</x:v>
      </x:c>
      <x:c r="B941" t="str">
        <x:v>Tepetenco</x:v>
      </x:c>
      <x:c r="C941" t="str">
        <x:v>Hombre</x:v>
      </x:c>
      <x:c r="D941" t="str">
        <x:v>d) 15 a 19 años</x:v>
      </x:c>
      <x:c r="E941" s="1" t="n">
        <x:v>19</x:v>
      </x:c>
    </x:row>
    <x:row r="942">
      <x:c r="A942" t="str">
        <x:v>MILPA ALTA</x:v>
      </x:c>
      <x:c r="B942" t="str">
        <x:v>Tepetenco</x:v>
      </x:c>
      <x:c r="C942" t="str">
        <x:v>Hombre</x:v>
      </x:c>
      <x:c r="D942" t="str">
        <x:v>e) 20 a 24 años</x:v>
      </x:c>
      <x:c r="E942" s="1" t="n">
        <x:v>11</x:v>
      </x:c>
    </x:row>
    <x:row r="943">
      <x:c r="A943" t="str">
        <x:v>MILPA ALTA</x:v>
      </x:c>
      <x:c r="B943" t="str">
        <x:v>Tepetenco</x:v>
      </x:c>
      <x:c r="C943" t="str">
        <x:v>Hombre</x:v>
      </x:c>
      <x:c r="D943" t="str">
        <x:v>f) 25 a 29 años</x:v>
      </x:c>
      <x:c r="E943" s="1" t="n">
        <x:v>13</x:v>
      </x:c>
    </x:row>
    <x:row r="944">
      <x:c r="A944" t="str">
        <x:v>MILPA ALTA</x:v>
      </x:c>
      <x:c r="B944" t="str">
        <x:v>Tepetenco</x:v>
      </x:c>
      <x:c r="C944" t="str">
        <x:v>Hombre</x:v>
      </x:c>
      <x:c r="D944" t="str">
        <x:v>g) 30 a 34 años</x:v>
      </x:c>
      <x:c r="E944" s="1" t="n">
        <x:v>9</x:v>
      </x:c>
    </x:row>
    <x:row r="945">
      <x:c r="A945" t="str">
        <x:v>MILPA ALTA</x:v>
      </x:c>
      <x:c r="B945" t="str">
        <x:v>Tepetenco</x:v>
      </x:c>
      <x:c r="C945" t="str">
        <x:v>Hombre</x:v>
      </x:c>
      <x:c r="D945" t="str">
        <x:v>h) 35 a 39 años</x:v>
      </x:c>
      <x:c r="E945" s="1" t="n">
        <x:v>7</x:v>
      </x:c>
    </x:row>
    <x:row r="946">
      <x:c r="A946" t="str">
        <x:v>MILPA ALTA</x:v>
      </x:c>
      <x:c r="B946" t="str">
        <x:v>Tepetenco</x:v>
      </x:c>
      <x:c r="C946" t="str">
        <x:v>Hombre</x:v>
      </x:c>
      <x:c r="D946" t="str">
        <x:v>i) 40 a 44 años</x:v>
      </x:c>
      <x:c r="E946" s="1" t="n">
        <x:v>7</x:v>
      </x:c>
    </x:row>
    <x:row r="947">
      <x:c r="A947" t="str">
        <x:v>MILPA ALTA</x:v>
      </x:c>
      <x:c r="B947" t="str">
        <x:v>Tepetenco</x:v>
      </x:c>
      <x:c r="C947" t="str">
        <x:v>Hombre</x:v>
      </x:c>
      <x:c r="D947" t="str">
        <x:v>j) 45 a 49 años</x:v>
      </x:c>
      <x:c r="E947" s="1" t="n">
        <x:v>11</x:v>
      </x:c>
    </x:row>
    <x:row r="948">
      <x:c r="A948" t="str">
        <x:v>MILPA ALTA</x:v>
      </x:c>
      <x:c r="B948" t="str">
        <x:v>Tepetenco</x:v>
      </x:c>
      <x:c r="C948" t="str">
        <x:v>Hombre</x:v>
      </x:c>
      <x:c r="D948" t="str">
        <x:v>k) 50 a 54 años</x:v>
      </x:c>
      <x:c r="E948" s="1" t="n">
        <x:v>7</x:v>
      </x:c>
    </x:row>
    <x:row r="949">
      <x:c r="A949" t="str">
        <x:v>MILPA ALTA</x:v>
      </x:c>
      <x:c r="B949" t="str">
        <x:v>Tepetenco</x:v>
      </x:c>
      <x:c r="C949" t="str">
        <x:v>Hombre</x:v>
      </x:c>
      <x:c r="D949" t="str">
        <x:v>l) 55 a 59 años</x:v>
      </x:c>
      <x:c r="E949" s="1" t="n">
        <x:v>5</x:v>
      </x:c>
    </x:row>
    <x:row r="950">
      <x:c r="A950" t="str">
        <x:v>MILPA ALTA</x:v>
      </x:c>
      <x:c r="B950" t="str">
        <x:v>Tepetenco</x:v>
      </x:c>
      <x:c r="C950" t="str">
        <x:v>Hombre</x:v>
      </x:c>
      <x:c r="D950" t="str">
        <x:v>m) 60 a 64 años</x:v>
      </x:c>
      <x:c r="E950" s="1" t="n">
        <x:v>10</x:v>
      </x:c>
    </x:row>
    <x:row r="951">
      <x:c r="A951" t="str">
        <x:v>MILPA ALTA</x:v>
      </x:c>
      <x:c r="B951" t="str">
        <x:v>Tepetenco</x:v>
      </x:c>
      <x:c r="C951" t="str">
        <x:v>Hombre</x:v>
      </x:c>
      <x:c r="D951" t="str">
        <x:v>n) 65 a 69 años</x:v>
      </x:c>
      <x:c r="E951" s="1" t="n">
        <x:v>4</x:v>
      </x:c>
    </x:row>
    <x:row r="952">
      <x:c r="A952" t="str">
        <x:v>MILPA ALTA</x:v>
      </x:c>
      <x:c r="B952" t="str">
        <x:v>Tepetenco</x:v>
      </x:c>
      <x:c r="C952" t="str">
        <x:v>Hombre</x:v>
      </x:c>
      <x:c r="D952" t="str">
        <x:v>o) 70 a 74 años</x:v>
      </x:c>
      <x:c r="E952" s="1" t="n">
        <x:v>2</x:v>
      </x:c>
    </x:row>
    <x:row r="953">
      <x:c r="A953" t="str">
        <x:v>MILPA ALTA</x:v>
      </x:c>
      <x:c r="B953" t="str">
        <x:v>Tepetenco</x:v>
      </x:c>
      <x:c r="C953" t="str">
        <x:v>Hombre</x:v>
      </x:c>
      <x:c r="D953" t="str">
        <x:v>p) 75 a 79 años</x:v>
      </x:c>
      <x:c r="E953" s="1" t="n">
        <x:v>1</x:v>
      </x:c>
    </x:row>
    <x:row r="954">
      <x:c r="A954" t="str">
        <x:v>MILPA ALTA</x:v>
      </x:c>
      <x:c r="B954" t="str">
        <x:v>Tepetenco</x:v>
      </x:c>
      <x:c r="C954" t="str">
        <x:v>Hombre</x:v>
      </x:c>
      <x:c r="D954" t="str">
        <x:v>q) 80 a 84 años</x:v>
      </x:c>
      <x:c r="E954" s="1" t="n">
        <x:v>0</x:v>
      </x:c>
    </x:row>
    <x:row r="955">
      <x:c r="A955" t="str">
        <x:v>MILPA ALTA</x:v>
      </x:c>
      <x:c r="B955" t="str">
        <x:v>Tepetenco</x:v>
      </x:c>
      <x:c r="C955" t="str">
        <x:v>Hombre</x:v>
      </x:c>
      <x:c r="D955" t="str">
        <x:v>r) 85 años y más</x:v>
      </x:c>
      <x:c r="E955" s="1" t="n">
        <x:v>0</x:v>
      </x:c>
    </x:row>
    <x:row r="956">
      <x:c r="A956" t="str">
        <x:v>MILPA ALTA</x:v>
      </x:c>
      <x:c r="B956" t="str">
        <x:v>Tepetenco</x:v>
      </x:c>
      <x:c r="C956" t="str">
        <x:v>Mujer</x:v>
      </x:c>
      <x:c r="D956" t="str">
        <x:v>a) 0 a 4 años</x:v>
      </x:c>
      <x:c r="E956" s="1" t="n">
        <x:v>10</x:v>
      </x:c>
    </x:row>
    <x:row r="957">
      <x:c r="A957" t="str">
        <x:v>MILPA ALTA</x:v>
      </x:c>
      <x:c r="B957" t="str">
        <x:v>Tepetenco</x:v>
      </x:c>
      <x:c r="C957" t="str">
        <x:v>Mujer</x:v>
      </x:c>
      <x:c r="D957" t="str">
        <x:v>b) 5 a 9 años</x:v>
      </x:c>
      <x:c r="E957" s="1" t="n">
        <x:v>15</x:v>
      </x:c>
    </x:row>
    <x:row r="958">
      <x:c r="A958" t="str">
        <x:v>MILPA ALTA</x:v>
      </x:c>
      <x:c r="B958" t="str">
        <x:v>Tepetenco</x:v>
      </x:c>
      <x:c r="C958" t="str">
        <x:v>Mujer</x:v>
      </x:c>
      <x:c r="D958" t="str">
        <x:v>c) 10 a 14 años</x:v>
      </x:c>
      <x:c r="E958" s="1" t="n">
        <x:v>21</x:v>
      </x:c>
    </x:row>
    <x:row r="959">
      <x:c r="A959" t="str">
        <x:v>MILPA ALTA</x:v>
      </x:c>
      <x:c r="B959" t="str">
        <x:v>Tepetenco</x:v>
      </x:c>
      <x:c r="C959" t="str">
        <x:v>Mujer</x:v>
      </x:c>
      <x:c r="D959" t="str">
        <x:v>d) 15 a 19 años</x:v>
      </x:c>
      <x:c r="E959" s="1" t="n">
        <x:v>14</x:v>
      </x:c>
    </x:row>
    <x:row r="960">
      <x:c r="A960" t="str">
        <x:v>MILPA ALTA</x:v>
      </x:c>
      <x:c r="B960" t="str">
        <x:v>Tepetenco</x:v>
      </x:c>
      <x:c r="C960" t="str">
        <x:v>Mujer</x:v>
      </x:c>
      <x:c r="D960" t="str">
        <x:v>e) 20 a 24 años</x:v>
      </x:c>
      <x:c r="E960" s="1" t="n">
        <x:v>11</x:v>
      </x:c>
    </x:row>
    <x:row r="961">
      <x:c r="A961" t="str">
        <x:v>MILPA ALTA</x:v>
      </x:c>
      <x:c r="B961" t="str">
        <x:v>Tepetenco</x:v>
      </x:c>
      <x:c r="C961" t="str">
        <x:v>Mujer</x:v>
      </x:c>
      <x:c r="D961" t="str">
        <x:v>f) 25 a 29 años</x:v>
      </x:c>
      <x:c r="E961" s="1" t="n">
        <x:v>10</x:v>
      </x:c>
    </x:row>
    <x:row r="962">
      <x:c r="A962" t="str">
        <x:v>MILPA ALTA</x:v>
      </x:c>
      <x:c r="B962" t="str">
        <x:v>Tepetenco</x:v>
      </x:c>
      <x:c r="C962" t="str">
        <x:v>Mujer</x:v>
      </x:c>
      <x:c r="D962" t="str">
        <x:v>g) 30 a 34 años</x:v>
      </x:c>
      <x:c r="E962" s="1" t="n">
        <x:v>13</x:v>
      </x:c>
    </x:row>
    <x:row r="963">
      <x:c r="A963" t="str">
        <x:v>MILPA ALTA</x:v>
      </x:c>
      <x:c r="B963" t="str">
        <x:v>Tepetenco</x:v>
      </x:c>
      <x:c r="C963" t="str">
        <x:v>Mujer</x:v>
      </x:c>
      <x:c r="D963" t="str">
        <x:v>h) 35 a 39 años</x:v>
      </x:c>
      <x:c r="E963" s="1" t="n">
        <x:v>16</x:v>
      </x:c>
    </x:row>
    <x:row r="964">
      <x:c r="A964" t="str">
        <x:v>MILPA ALTA</x:v>
      </x:c>
      <x:c r="B964" t="str">
        <x:v>Tepetenco</x:v>
      </x:c>
      <x:c r="C964" t="str">
        <x:v>Mujer</x:v>
      </x:c>
      <x:c r="D964" t="str">
        <x:v>i) 40 a 44 años</x:v>
      </x:c>
      <x:c r="E964" s="1" t="n">
        <x:v>13</x:v>
      </x:c>
    </x:row>
    <x:row r="965">
      <x:c r="A965" t="str">
        <x:v>MILPA ALTA</x:v>
      </x:c>
      <x:c r="B965" t="str">
        <x:v>Tepetenco</x:v>
      </x:c>
      <x:c r="C965" t="str">
        <x:v>Mujer</x:v>
      </x:c>
      <x:c r="D965" t="str">
        <x:v>j) 45 a 49 años</x:v>
      </x:c>
      <x:c r="E965" s="1" t="n">
        <x:v>11</x:v>
      </x:c>
    </x:row>
    <x:row r="966">
      <x:c r="A966" t="str">
        <x:v>MILPA ALTA</x:v>
      </x:c>
      <x:c r="B966" t="str">
        <x:v>Tepetenco</x:v>
      </x:c>
      <x:c r="C966" t="str">
        <x:v>Mujer</x:v>
      </x:c>
      <x:c r="D966" t="str">
        <x:v>k) 50 a 54 años</x:v>
      </x:c>
      <x:c r="E966" s="1" t="n">
        <x:v>9</x:v>
      </x:c>
    </x:row>
    <x:row r="967">
      <x:c r="A967" t="str">
        <x:v>MILPA ALTA</x:v>
      </x:c>
      <x:c r="B967" t="str">
        <x:v>Tepetenco</x:v>
      </x:c>
      <x:c r="C967" t="str">
        <x:v>Mujer</x:v>
      </x:c>
      <x:c r="D967" t="str">
        <x:v>l) 55 a 59 años</x:v>
      </x:c>
      <x:c r="E967" s="1" t="n">
        <x:v>7</x:v>
      </x:c>
    </x:row>
    <x:row r="968">
      <x:c r="A968" t="str">
        <x:v>MILPA ALTA</x:v>
      </x:c>
      <x:c r="B968" t="str">
        <x:v>Tepetenco</x:v>
      </x:c>
      <x:c r="C968" t="str">
        <x:v>Mujer</x:v>
      </x:c>
      <x:c r="D968" t="str">
        <x:v>m) 60 a 64 años</x:v>
      </x:c>
      <x:c r="E968" s="1" t="n">
        <x:v>1</x:v>
      </x:c>
    </x:row>
    <x:row r="969">
      <x:c r="A969" t="str">
        <x:v>MILPA ALTA</x:v>
      </x:c>
      <x:c r="B969" t="str">
        <x:v>Tepetenco</x:v>
      </x:c>
      <x:c r="C969" t="str">
        <x:v>Mujer</x:v>
      </x:c>
      <x:c r="D969" t="str">
        <x:v>n) 65 a 69 años</x:v>
      </x:c>
      <x:c r="E969" s="1" t="n">
        <x:v>4</x:v>
      </x:c>
    </x:row>
    <x:row r="970">
      <x:c r="A970" t="str">
        <x:v>MILPA ALTA</x:v>
      </x:c>
      <x:c r="B970" t="str">
        <x:v>Tepetenco</x:v>
      </x:c>
      <x:c r="C970" t="str">
        <x:v>Mujer</x:v>
      </x:c>
      <x:c r="D970" t="str">
        <x:v>o) 70 a 74 años</x:v>
      </x:c>
      <x:c r="E970" s="1" t="n">
        <x:v>2</x:v>
      </x:c>
    </x:row>
    <x:row r="971">
      <x:c r="A971" t="str">
        <x:v>MILPA ALTA</x:v>
      </x:c>
      <x:c r="B971" t="str">
        <x:v>Tepetenco</x:v>
      </x:c>
      <x:c r="C971" t="str">
        <x:v>Mujer</x:v>
      </x:c>
      <x:c r="D971" t="str">
        <x:v>p) 75 a 79 años</x:v>
      </x:c>
      <x:c r="E971" s="1" t="n">
        <x:v>2</x:v>
      </x:c>
    </x:row>
    <x:row r="972">
      <x:c r="A972" t="str">
        <x:v>MILPA ALTA</x:v>
      </x:c>
      <x:c r="B972" t="str">
        <x:v>Tepetenco</x:v>
      </x:c>
      <x:c r="C972" t="str">
        <x:v>Mujer</x:v>
      </x:c>
      <x:c r="D972" t="str">
        <x:v>q) 80 a 84 años</x:v>
      </x:c>
      <x:c r="E972" s="1" t="n">
        <x:v>0</x:v>
      </x:c>
    </x:row>
    <x:row r="973">
      <x:c r="A973" t="str">
        <x:v>MILPA ALTA</x:v>
      </x:c>
      <x:c r="B973" t="str">
        <x:v>Tepetenco</x:v>
      </x:c>
      <x:c r="C973" t="str">
        <x:v>Mujer</x:v>
      </x:c>
      <x:c r="D973" t="str">
        <x:v>r) 85 años y más</x:v>
      </x:c>
      <x:c r="E973" s="1" t="n">
        <x:v>1</x:v>
      </x:c>
    </x:row>
    <x:row r="974">
      <x:c r="A974" t="str">
        <x:v>MILPA ALTA</x:v>
      </x:c>
      <x:c r="B974" t="str">
        <x:v>San Isidro Cuatepec</x:v>
      </x:c>
      <x:c r="C974" t="str">
        <x:v>Hombre</x:v>
      </x:c>
      <x:c r="D974" t="str">
        <x:v>a) 0 a 4 años</x:v>
      </x:c>
      <x:c r="E974" s="1" t="n">
        <x:v>41</x:v>
      </x:c>
    </x:row>
    <x:row r="975">
      <x:c r="A975" t="str">
        <x:v>MILPA ALTA</x:v>
      </x:c>
      <x:c r="B975" t="str">
        <x:v>San Isidro Cuatepec</x:v>
      </x:c>
      <x:c r="C975" t="str">
        <x:v>Hombre</x:v>
      </x:c>
      <x:c r="D975" t="str">
        <x:v>b) 5 a 9 años</x:v>
      </x:c>
      <x:c r="E975" s="1" t="n">
        <x:v>40</x:v>
      </x:c>
    </x:row>
    <x:row r="976">
      <x:c r="A976" t="str">
        <x:v>MILPA ALTA</x:v>
      </x:c>
      <x:c r="B976" t="str">
        <x:v>San Isidro Cuatepec</x:v>
      </x:c>
      <x:c r="C976" t="str">
        <x:v>Hombre</x:v>
      </x:c>
      <x:c r="D976" t="str">
        <x:v>c) 10 a 14 años</x:v>
      </x:c>
      <x:c r="E976" s="1" t="n">
        <x:v>56</x:v>
      </x:c>
    </x:row>
    <x:row r="977">
      <x:c r="A977" t="str">
        <x:v>MILPA ALTA</x:v>
      </x:c>
      <x:c r="B977" t="str">
        <x:v>San Isidro Cuatepec</x:v>
      </x:c>
      <x:c r="C977" t="str">
        <x:v>Hombre</x:v>
      </x:c>
      <x:c r="D977" t="str">
        <x:v>d) 15 a 19 años</x:v>
      </x:c>
      <x:c r="E977" s="1" t="n">
        <x:v>41</x:v>
      </x:c>
    </x:row>
    <x:row r="978">
      <x:c r="A978" t="str">
        <x:v>MILPA ALTA</x:v>
      </x:c>
      <x:c r="B978" t="str">
        <x:v>San Isidro Cuatepec</x:v>
      </x:c>
      <x:c r="C978" t="str">
        <x:v>Hombre</x:v>
      </x:c>
      <x:c r="D978" t="str">
        <x:v>e) 20 a 24 años</x:v>
      </x:c>
      <x:c r="E978" s="1" t="n">
        <x:v>44</x:v>
      </x:c>
    </x:row>
    <x:row r="979">
      <x:c r="A979" t="str">
        <x:v>MILPA ALTA</x:v>
      </x:c>
      <x:c r="B979" t="str">
        <x:v>San Isidro Cuatepec</x:v>
      </x:c>
      <x:c r="C979" t="str">
        <x:v>Hombre</x:v>
      </x:c>
      <x:c r="D979" t="str">
        <x:v>f) 25 a 29 años</x:v>
      </x:c>
      <x:c r="E979" s="1" t="n">
        <x:v>46</x:v>
      </x:c>
    </x:row>
    <x:row r="980">
      <x:c r="A980" t="str">
        <x:v>MILPA ALTA</x:v>
      </x:c>
      <x:c r="B980" t="str">
        <x:v>San Isidro Cuatepec</x:v>
      </x:c>
      <x:c r="C980" t="str">
        <x:v>Hombre</x:v>
      </x:c>
      <x:c r="D980" t="str">
        <x:v>g) 30 a 34 años</x:v>
      </x:c>
      <x:c r="E980" s="1" t="n">
        <x:v>33</x:v>
      </x:c>
    </x:row>
    <x:row r="981">
      <x:c r="A981" t="str">
        <x:v>MILPA ALTA</x:v>
      </x:c>
      <x:c r="B981" t="str">
        <x:v>San Isidro Cuatepec</x:v>
      </x:c>
      <x:c r="C981" t="str">
        <x:v>Hombre</x:v>
      </x:c>
      <x:c r="D981" t="str">
        <x:v>h) 35 a 39 años</x:v>
      </x:c>
      <x:c r="E981" s="1" t="n">
        <x:v>34</x:v>
      </x:c>
    </x:row>
    <x:row r="982">
      <x:c r="A982" t="str">
        <x:v>MILPA ALTA</x:v>
      </x:c>
      <x:c r="B982" t="str">
        <x:v>San Isidro Cuatepec</x:v>
      </x:c>
      <x:c r="C982" t="str">
        <x:v>Hombre</x:v>
      </x:c>
      <x:c r="D982" t="str">
        <x:v>i) 40 a 44 años</x:v>
      </x:c>
      <x:c r="E982" s="1" t="n">
        <x:v>42</x:v>
      </x:c>
    </x:row>
    <x:row r="983">
      <x:c r="A983" t="str">
        <x:v>MILPA ALTA</x:v>
      </x:c>
      <x:c r="B983" t="str">
        <x:v>San Isidro Cuatepec</x:v>
      </x:c>
      <x:c r="C983" t="str">
        <x:v>Hombre</x:v>
      </x:c>
      <x:c r="D983" t="str">
        <x:v>j) 45 a 49 años</x:v>
      </x:c>
      <x:c r="E983" s="1" t="n">
        <x:v>44</x:v>
      </x:c>
    </x:row>
    <x:row r="984">
      <x:c r="A984" t="str">
        <x:v>MILPA ALTA</x:v>
      </x:c>
      <x:c r="B984" t="str">
        <x:v>San Isidro Cuatepec</x:v>
      </x:c>
      <x:c r="C984" t="str">
        <x:v>Hombre</x:v>
      </x:c>
      <x:c r="D984" t="str">
        <x:v>k) 50 a 54 años</x:v>
      </x:c>
      <x:c r="E984" s="1" t="n">
        <x:v>34</x:v>
      </x:c>
    </x:row>
    <x:row r="985">
      <x:c r="A985" t="str">
        <x:v>MILPA ALTA</x:v>
      </x:c>
      <x:c r="B985" t="str">
        <x:v>San Isidro Cuatepec</x:v>
      </x:c>
      <x:c r="C985" t="str">
        <x:v>Hombre</x:v>
      </x:c>
      <x:c r="D985" t="str">
        <x:v>l) 55 a 59 años</x:v>
      </x:c>
      <x:c r="E985" s="1" t="n">
        <x:v>19</x:v>
      </x:c>
    </x:row>
    <x:row r="986">
      <x:c r="A986" t="str">
        <x:v>MILPA ALTA</x:v>
      </x:c>
      <x:c r="B986" t="str">
        <x:v>San Isidro Cuatepec</x:v>
      </x:c>
      <x:c r="C986" t="str">
        <x:v>Hombre</x:v>
      </x:c>
      <x:c r="D986" t="str">
        <x:v>m) 60 a 64 años</x:v>
      </x:c>
      <x:c r="E986" s="1" t="n">
        <x:v>17</x:v>
      </x:c>
    </x:row>
    <x:row r="987">
      <x:c r="A987" t="str">
        <x:v>MILPA ALTA</x:v>
      </x:c>
      <x:c r="B987" t="str">
        <x:v>San Isidro Cuatepec</x:v>
      </x:c>
      <x:c r="C987" t="str">
        <x:v>Hombre</x:v>
      </x:c>
      <x:c r="D987" t="str">
        <x:v>n) 65 a 69 años</x:v>
      </x:c>
      <x:c r="E987" s="1" t="n">
        <x:v>4</x:v>
      </x:c>
    </x:row>
    <x:row r="988">
      <x:c r="A988" t="str">
        <x:v>MILPA ALTA</x:v>
      </x:c>
      <x:c r="B988" t="str">
        <x:v>San Isidro Cuatepec</x:v>
      </x:c>
      <x:c r="C988" t="str">
        <x:v>Hombre</x:v>
      </x:c>
      <x:c r="D988" t="str">
        <x:v>o) 70 a 74 años</x:v>
      </x:c>
      <x:c r="E988" s="1" t="n">
        <x:v>4</x:v>
      </x:c>
    </x:row>
    <x:row r="989">
      <x:c r="A989" t="str">
        <x:v>MILPA ALTA</x:v>
      </x:c>
      <x:c r="B989" t="str">
        <x:v>San Isidro Cuatepec</x:v>
      </x:c>
      <x:c r="C989" t="str">
        <x:v>Hombre</x:v>
      </x:c>
      <x:c r="D989" t="str">
        <x:v>p) 75 a 79 años</x:v>
      </x:c>
      <x:c r="E989" s="1" t="n">
        <x:v>4</x:v>
      </x:c>
    </x:row>
    <x:row r="990">
      <x:c r="A990" t="str">
        <x:v>MILPA ALTA</x:v>
      </x:c>
      <x:c r="B990" t="str">
        <x:v>San Isidro Cuatepec</x:v>
      </x:c>
      <x:c r="C990" t="str">
        <x:v>Hombre</x:v>
      </x:c>
      <x:c r="D990" t="str">
        <x:v>q) 80 a 84 años</x:v>
      </x:c>
      <x:c r="E990" s="1" t="n">
        <x:v>1</x:v>
      </x:c>
    </x:row>
    <x:row r="991">
      <x:c r="A991" t="str">
        <x:v>MILPA ALTA</x:v>
      </x:c>
      <x:c r="B991" t="str">
        <x:v>San Isidro Cuatepec</x:v>
      </x:c>
      <x:c r="C991" t="str">
        <x:v>Hombre</x:v>
      </x:c>
      <x:c r="D991" t="str">
        <x:v>r) 85 años y más</x:v>
      </x:c>
      <x:c r="E991" s="1" t="n">
        <x:v>2</x:v>
      </x:c>
    </x:row>
    <x:row r="992">
      <x:c r="A992" t="str">
        <x:v>MILPA ALTA</x:v>
      </x:c>
      <x:c r="B992" t="str">
        <x:v>San Isidro Cuatepec</x:v>
      </x:c>
      <x:c r="C992" t="str">
        <x:v>Mujer</x:v>
      </x:c>
      <x:c r="D992" t="str">
        <x:v>a) 0 a 4 años</x:v>
      </x:c>
      <x:c r="E992" s="1" t="n">
        <x:v>42</x:v>
      </x:c>
    </x:row>
    <x:row r="993">
      <x:c r="A993" t="str">
        <x:v>MILPA ALTA</x:v>
      </x:c>
      <x:c r="B993" t="str">
        <x:v>San Isidro Cuatepec</x:v>
      </x:c>
      <x:c r="C993" t="str">
        <x:v>Mujer</x:v>
      </x:c>
      <x:c r="D993" t="str">
        <x:v>b) 5 a 9 años</x:v>
      </x:c>
      <x:c r="E993" s="1" t="n">
        <x:v>53</x:v>
      </x:c>
    </x:row>
    <x:row r="994">
      <x:c r="A994" t="str">
        <x:v>MILPA ALTA</x:v>
      </x:c>
      <x:c r="B994" t="str">
        <x:v>San Isidro Cuatepec</x:v>
      </x:c>
      <x:c r="C994" t="str">
        <x:v>Mujer</x:v>
      </x:c>
      <x:c r="D994" t="str">
        <x:v>c) 10 a 14 años</x:v>
      </x:c>
      <x:c r="E994" s="1" t="n">
        <x:v>55</x:v>
      </x:c>
    </x:row>
    <x:row r="995">
      <x:c r="A995" t="str">
        <x:v>MILPA ALTA</x:v>
      </x:c>
      <x:c r="B995" t="str">
        <x:v>San Isidro Cuatepec</x:v>
      </x:c>
      <x:c r="C995" t="str">
        <x:v>Mujer</x:v>
      </x:c>
      <x:c r="D995" t="str">
        <x:v>d) 15 a 19 años</x:v>
      </x:c>
      <x:c r="E995" s="1" t="n">
        <x:v>55</x:v>
      </x:c>
    </x:row>
    <x:row r="996">
      <x:c r="A996" t="str">
        <x:v>MILPA ALTA</x:v>
      </x:c>
      <x:c r="B996" t="str">
        <x:v>San Isidro Cuatepec</x:v>
      </x:c>
      <x:c r="C996" t="str">
        <x:v>Mujer</x:v>
      </x:c>
      <x:c r="D996" t="str">
        <x:v>e) 20 a 24 años</x:v>
      </x:c>
      <x:c r="E996" s="1" t="n">
        <x:v>48</x:v>
      </x:c>
    </x:row>
    <x:row r="997">
      <x:c r="A997" t="str">
        <x:v>MILPA ALTA</x:v>
      </x:c>
      <x:c r="B997" t="str">
        <x:v>San Isidro Cuatepec</x:v>
      </x:c>
      <x:c r="C997" t="str">
        <x:v>Mujer</x:v>
      </x:c>
      <x:c r="D997" t="str">
        <x:v>f) 25 a 29 años</x:v>
      </x:c>
      <x:c r="E997" s="1" t="n">
        <x:v>57</x:v>
      </x:c>
    </x:row>
    <x:row r="998">
      <x:c r="A998" t="str">
        <x:v>MILPA ALTA</x:v>
      </x:c>
      <x:c r="B998" t="str">
        <x:v>San Isidro Cuatepec</x:v>
      </x:c>
      <x:c r="C998" t="str">
        <x:v>Mujer</x:v>
      </x:c>
      <x:c r="D998" t="str">
        <x:v>g) 30 a 34 años</x:v>
      </x:c>
      <x:c r="E998" s="1" t="n">
        <x:v>38</x:v>
      </x:c>
    </x:row>
    <x:row r="999">
      <x:c r="A999" t="str">
        <x:v>MILPA ALTA</x:v>
      </x:c>
      <x:c r="B999" t="str">
        <x:v>San Isidro Cuatepec</x:v>
      </x:c>
      <x:c r="C999" t="str">
        <x:v>Mujer</x:v>
      </x:c>
      <x:c r="D999" t="str">
        <x:v>h) 35 a 39 años</x:v>
      </x:c>
      <x:c r="E999" s="1" t="n">
        <x:v>39</x:v>
      </x:c>
    </x:row>
    <x:row r="1000">
      <x:c r="A1000" t="str">
        <x:v>MILPA ALTA</x:v>
      </x:c>
      <x:c r="B1000" t="str">
        <x:v>San Isidro Cuatepec</x:v>
      </x:c>
      <x:c r="C1000" t="str">
        <x:v>Mujer</x:v>
      </x:c>
      <x:c r="D1000" t="str">
        <x:v>i) 40 a 44 años</x:v>
      </x:c>
      <x:c r="E1000" s="1" t="n">
        <x:v>49</x:v>
      </x:c>
    </x:row>
    <x:row r="1001">
      <x:c r="A1001" t="str">
        <x:v>MILPA ALTA</x:v>
      </x:c>
      <x:c r="B1001" t="str">
        <x:v>San Isidro Cuatepec</x:v>
      </x:c>
      <x:c r="C1001" t="str">
        <x:v>Mujer</x:v>
      </x:c>
      <x:c r="D1001" t="str">
        <x:v>j) 45 a 49 años</x:v>
      </x:c>
      <x:c r="E1001" s="1" t="n">
        <x:v>37</x:v>
      </x:c>
    </x:row>
    <x:row r="1002">
      <x:c r="A1002" t="str">
        <x:v>MILPA ALTA</x:v>
      </x:c>
      <x:c r="B1002" t="str">
        <x:v>San Isidro Cuatepec</x:v>
      </x:c>
      <x:c r="C1002" t="str">
        <x:v>Mujer</x:v>
      </x:c>
      <x:c r="D1002" t="str">
        <x:v>k) 50 a 54 años</x:v>
      </x:c>
      <x:c r="E1002" s="1" t="n">
        <x:v>33</x:v>
      </x:c>
    </x:row>
    <x:row r="1003">
      <x:c r="A1003" t="str">
        <x:v>MILPA ALTA</x:v>
      </x:c>
      <x:c r="B1003" t="str">
        <x:v>San Isidro Cuatepec</x:v>
      </x:c>
      <x:c r="C1003" t="str">
        <x:v>Mujer</x:v>
      </x:c>
      <x:c r="D1003" t="str">
        <x:v>l) 55 a 59 años</x:v>
      </x:c>
      <x:c r="E1003" s="1" t="n">
        <x:v>21</x:v>
      </x:c>
    </x:row>
    <x:row r="1004">
      <x:c r="A1004" t="str">
        <x:v>MILPA ALTA</x:v>
      </x:c>
      <x:c r="B1004" t="str">
        <x:v>San Isidro Cuatepec</x:v>
      </x:c>
      <x:c r="C1004" t="str">
        <x:v>Mujer</x:v>
      </x:c>
      <x:c r="D1004" t="str">
        <x:v>m) 60 a 64 años</x:v>
      </x:c>
      <x:c r="E1004" s="1" t="n">
        <x:v>10</x:v>
      </x:c>
    </x:row>
    <x:row r="1005">
      <x:c r="A1005" t="str">
        <x:v>MILPA ALTA</x:v>
      </x:c>
      <x:c r="B1005" t="str">
        <x:v>San Isidro Cuatepec</x:v>
      </x:c>
      <x:c r="C1005" t="str">
        <x:v>Mujer</x:v>
      </x:c>
      <x:c r="D1005" t="str">
        <x:v>n) 65 a 69 años</x:v>
      </x:c>
      <x:c r="E1005" s="1" t="n">
        <x:v>12</x:v>
      </x:c>
    </x:row>
    <x:row r="1006">
      <x:c r="A1006" t="str">
        <x:v>MILPA ALTA</x:v>
      </x:c>
      <x:c r="B1006" t="str">
        <x:v>San Isidro Cuatepec</x:v>
      </x:c>
      <x:c r="C1006" t="str">
        <x:v>Mujer</x:v>
      </x:c>
      <x:c r="D1006" t="str">
        <x:v>o) 70 a 74 años</x:v>
      </x:c>
      <x:c r="E1006" s="1" t="n">
        <x:v>3</x:v>
      </x:c>
    </x:row>
    <x:row r="1007">
      <x:c r="A1007" t="str">
        <x:v>MILPA ALTA</x:v>
      </x:c>
      <x:c r="B1007" t="str">
        <x:v>San Isidro Cuatepec</x:v>
      </x:c>
      <x:c r="C1007" t="str">
        <x:v>Mujer</x:v>
      </x:c>
      <x:c r="D1007" t="str">
        <x:v>p) 75 a 79 años</x:v>
      </x:c>
      <x:c r="E1007" s="1" t="n">
        <x:v>2</x:v>
      </x:c>
    </x:row>
    <x:row r="1008">
      <x:c r="A1008" t="str">
        <x:v>MILPA ALTA</x:v>
      </x:c>
      <x:c r="B1008" t="str">
        <x:v>San Isidro Cuatepec</x:v>
      </x:c>
      <x:c r="C1008" t="str">
        <x:v>Mujer</x:v>
      </x:c>
      <x:c r="D1008" t="str">
        <x:v>q) 80 a 84 años</x:v>
      </x:c>
      <x:c r="E1008" s="1" t="n">
        <x:v>1</x:v>
      </x:c>
    </x:row>
    <x:row r="1009">
      <x:c r="A1009" t="str">
        <x:v>MILPA ALTA</x:v>
      </x:c>
      <x:c r="B1009" t="str">
        <x:v>San Isidro Cuatepec</x:v>
      </x:c>
      <x:c r="C1009" t="str">
        <x:v>Mujer</x:v>
      </x:c>
      <x:c r="D1009" t="str">
        <x:v>r) 85 años y más</x:v>
      </x:c>
      <x:c r="E1009" s="1" t="n">
        <x:v>2</x:v>
      </x:c>
    </x:row>
    <x:row r="1010">
      <x:c r="A1010" t="str">
        <x:v>MILPA ALTA</x:v>
      </x:c>
      <x:c r="B1010" t="str">
        <x:v>Xaluis</x:v>
      </x:c>
      <x:c r="C1010" t="str">
        <x:v>Hombre</x:v>
      </x:c>
      <x:c r="D1010" t="str">
        <x:v>a) 0 a 4 años</x:v>
      </x:c>
      <x:c r="E1010" s="1" t="n">
        <x:v>8</x:v>
      </x:c>
    </x:row>
    <x:row r="1011">
      <x:c r="A1011" t="str">
        <x:v>MILPA ALTA</x:v>
      </x:c>
      <x:c r="B1011" t="str">
        <x:v>Xaluis</x:v>
      </x:c>
      <x:c r="C1011" t="str">
        <x:v>Hombre</x:v>
      </x:c>
      <x:c r="D1011" t="str">
        <x:v>b) 5 a 9 años</x:v>
      </x:c>
      <x:c r="E1011" s="1" t="n">
        <x:v>16</x:v>
      </x:c>
    </x:row>
    <x:row r="1012">
      <x:c r="A1012" t="str">
        <x:v>MILPA ALTA</x:v>
      </x:c>
      <x:c r="B1012" t="str">
        <x:v>Xaluis</x:v>
      </x:c>
      <x:c r="C1012" t="str">
        <x:v>Hombre</x:v>
      </x:c>
      <x:c r="D1012" t="str">
        <x:v>c) 10 a 14 años</x:v>
      </x:c>
      <x:c r="E1012" s="1" t="n">
        <x:v>10</x:v>
      </x:c>
    </x:row>
    <x:row r="1013">
      <x:c r="A1013" t="str">
        <x:v>MILPA ALTA</x:v>
      </x:c>
      <x:c r="B1013" t="str">
        <x:v>Xaluis</x:v>
      </x:c>
      <x:c r="C1013" t="str">
        <x:v>Hombre</x:v>
      </x:c>
      <x:c r="D1013" t="str">
        <x:v>d) 15 a 19 años</x:v>
      </x:c>
      <x:c r="E1013" s="1" t="n">
        <x:v>10</x:v>
      </x:c>
    </x:row>
    <x:row r="1014">
      <x:c r="A1014" t="str">
        <x:v>MILPA ALTA</x:v>
      </x:c>
      <x:c r="B1014" t="str">
        <x:v>Xaluis</x:v>
      </x:c>
      <x:c r="C1014" t="str">
        <x:v>Hombre</x:v>
      </x:c>
      <x:c r="D1014" t="str">
        <x:v>e) 20 a 24 años</x:v>
      </x:c>
      <x:c r="E1014" s="1" t="n">
        <x:v>7</x:v>
      </x:c>
    </x:row>
    <x:row r="1015">
      <x:c r="A1015" t="str">
        <x:v>MILPA ALTA</x:v>
      </x:c>
      <x:c r="B1015" t="str">
        <x:v>Xaluis</x:v>
      </x:c>
      <x:c r="C1015" t="str">
        <x:v>Hombre</x:v>
      </x:c>
      <x:c r="D1015" t="str">
        <x:v>f) 25 a 29 años</x:v>
      </x:c>
      <x:c r="E1015" s="1" t="n">
        <x:v>9</x:v>
      </x:c>
    </x:row>
    <x:row r="1016">
      <x:c r="A1016" t="str">
        <x:v>MILPA ALTA</x:v>
      </x:c>
      <x:c r="B1016" t="str">
        <x:v>Xaluis</x:v>
      </x:c>
      <x:c r="C1016" t="str">
        <x:v>Hombre</x:v>
      </x:c>
      <x:c r="D1016" t="str">
        <x:v>g) 30 a 34 años</x:v>
      </x:c>
      <x:c r="E1016" s="1" t="n">
        <x:v>12</x:v>
      </x:c>
    </x:row>
    <x:row r="1017">
      <x:c r="A1017" t="str">
        <x:v>MILPA ALTA</x:v>
      </x:c>
      <x:c r="B1017" t="str">
        <x:v>Xaluis</x:v>
      </x:c>
      <x:c r="C1017" t="str">
        <x:v>Hombre</x:v>
      </x:c>
      <x:c r="D1017" t="str">
        <x:v>h) 35 a 39 años</x:v>
      </x:c>
      <x:c r="E1017" s="1" t="n">
        <x:v>4</x:v>
      </x:c>
    </x:row>
    <x:row r="1018">
      <x:c r="A1018" t="str">
        <x:v>MILPA ALTA</x:v>
      </x:c>
      <x:c r="B1018" t="str">
        <x:v>Xaluis</x:v>
      </x:c>
      <x:c r="C1018" t="str">
        <x:v>Hombre</x:v>
      </x:c>
      <x:c r="D1018" t="str">
        <x:v>i) 40 a 44 años</x:v>
      </x:c>
      <x:c r="E1018" s="1" t="n">
        <x:v>5</x:v>
      </x:c>
    </x:row>
    <x:row r="1019">
      <x:c r="A1019" t="str">
        <x:v>MILPA ALTA</x:v>
      </x:c>
      <x:c r="B1019" t="str">
        <x:v>Xaluis</x:v>
      </x:c>
      <x:c r="C1019" t="str">
        <x:v>Hombre</x:v>
      </x:c>
      <x:c r="D1019" t="str">
        <x:v>j) 45 a 49 años</x:v>
      </x:c>
      <x:c r="E1019" s="1" t="n">
        <x:v>6</x:v>
      </x:c>
    </x:row>
    <x:row r="1020">
      <x:c r="A1020" t="str">
        <x:v>MILPA ALTA</x:v>
      </x:c>
      <x:c r="B1020" t="str">
        <x:v>Xaluis</x:v>
      </x:c>
      <x:c r="C1020" t="str">
        <x:v>Hombre</x:v>
      </x:c>
      <x:c r="D1020" t="str">
        <x:v>k) 50 a 54 años</x:v>
      </x:c>
      <x:c r="E1020" s="1" t="n">
        <x:v>8</x:v>
      </x:c>
    </x:row>
    <x:row r="1021">
      <x:c r="A1021" t="str">
        <x:v>MILPA ALTA</x:v>
      </x:c>
      <x:c r="B1021" t="str">
        <x:v>Xaluis</x:v>
      </x:c>
      <x:c r="C1021" t="str">
        <x:v>Hombre</x:v>
      </x:c>
      <x:c r="D1021" t="str">
        <x:v>l) 55 a 59 años</x:v>
      </x:c>
      <x:c r="E1021" s="1" t="n">
        <x:v>3</x:v>
      </x:c>
    </x:row>
    <x:row r="1022">
      <x:c r="A1022" t="str">
        <x:v>MILPA ALTA</x:v>
      </x:c>
      <x:c r="B1022" t="str">
        <x:v>Xaluis</x:v>
      </x:c>
      <x:c r="C1022" t="str">
        <x:v>Hombre</x:v>
      </x:c>
      <x:c r="D1022" t="str">
        <x:v>m) 60 a 64 años</x:v>
      </x:c>
      <x:c r="E1022" s="1" t="n">
        <x:v>2</x:v>
      </x:c>
    </x:row>
    <x:row r="1023">
      <x:c r="A1023" t="str">
        <x:v>MILPA ALTA</x:v>
      </x:c>
      <x:c r="B1023" t="str">
        <x:v>Xaluis</x:v>
      </x:c>
      <x:c r="C1023" t="str">
        <x:v>Hombre</x:v>
      </x:c>
      <x:c r="D1023" t="str">
        <x:v>n) 65 a 69 años</x:v>
      </x:c>
      <x:c r="E1023" s="1" t="n">
        <x:v>1</x:v>
      </x:c>
    </x:row>
    <x:row r="1024">
      <x:c r="A1024" t="str">
        <x:v>MILPA ALTA</x:v>
      </x:c>
      <x:c r="B1024" t="str">
        <x:v>Xaluis</x:v>
      </x:c>
      <x:c r="C1024" t="str">
        <x:v>Hombre</x:v>
      </x:c>
      <x:c r="D1024" t="str">
        <x:v>o) 70 a 74 años</x:v>
      </x:c>
      <x:c r="E1024" s="1" t="n">
        <x:v>0</x:v>
      </x:c>
    </x:row>
    <x:row r="1025">
      <x:c r="A1025" t="str">
        <x:v>MILPA ALTA</x:v>
      </x:c>
      <x:c r="B1025" t="str">
        <x:v>Xaluis</x:v>
      </x:c>
      <x:c r="C1025" t="str">
        <x:v>Hombre</x:v>
      </x:c>
      <x:c r="D1025" t="str">
        <x:v>p) 75 a 79 años</x:v>
      </x:c>
      <x:c r="E1025" s="1" t="n">
        <x:v>1</x:v>
      </x:c>
    </x:row>
    <x:row r="1026">
      <x:c r="A1026" t="str">
        <x:v>MILPA ALTA</x:v>
      </x:c>
      <x:c r="B1026" t="str">
        <x:v>Xaluis</x:v>
      </x:c>
      <x:c r="C1026" t="str">
        <x:v>Hombre</x:v>
      </x:c>
      <x:c r="D1026" t="str">
        <x:v>q) 80 a 84 años</x:v>
      </x:c>
      <x:c r="E1026" s="1" t="n">
        <x:v>0</x:v>
      </x:c>
    </x:row>
    <x:row r="1027">
      <x:c r="A1027" t="str">
        <x:v>MILPA ALTA</x:v>
      </x:c>
      <x:c r="B1027" t="str">
        <x:v>Xaluis</x:v>
      </x:c>
      <x:c r="C1027" t="str">
        <x:v>Hombre</x:v>
      </x:c>
      <x:c r="D1027" t="str">
        <x:v>r) 85 años y más</x:v>
      </x:c>
      <x:c r="E1027" s="1" t="n">
        <x:v>0</x:v>
      </x:c>
    </x:row>
    <x:row r="1028">
      <x:c r="A1028" t="str">
        <x:v>MILPA ALTA</x:v>
      </x:c>
      <x:c r="B1028" t="str">
        <x:v>Xaluis</x:v>
      </x:c>
      <x:c r="C1028" t="str">
        <x:v>Mujer</x:v>
      </x:c>
      <x:c r="D1028" t="str">
        <x:v>a) 0 a 4 años</x:v>
      </x:c>
      <x:c r="E1028" s="1" t="n">
        <x:v>9</x:v>
      </x:c>
    </x:row>
    <x:row r="1029">
      <x:c r="A1029" t="str">
        <x:v>MILPA ALTA</x:v>
      </x:c>
      <x:c r="B1029" t="str">
        <x:v>Xaluis</x:v>
      </x:c>
      <x:c r="C1029" t="str">
        <x:v>Mujer</x:v>
      </x:c>
      <x:c r="D1029" t="str">
        <x:v>b) 5 a 9 años</x:v>
      </x:c>
      <x:c r="E1029" s="1" t="n">
        <x:v>6</x:v>
      </x:c>
    </x:row>
    <x:row r="1030">
      <x:c r="A1030" t="str">
        <x:v>MILPA ALTA</x:v>
      </x:c>
      <x:c r="B1030" t="str">
        <x:v>Xaluis</x:v>
      </x:c>
      <x:c r="C1030" t="str">
        <x:v>Mujer</x:v>
      </x:c>
      <x:c r="D1030" t="str">
        <x:v>c) 10 a 14 años</x:v>
      </x:c>
      <x:c r="E1030" s="1" t="n">
        <x:v>8</x:v>
      </x:c>
    </x:row>
    <x:row r="1031">
      <x:c r="A1031" t="str">
        <x:v>MILPA ALTA</x:v>
      </x:c>
      <x:c r="B1031" t="str">
        <x:v>Xaluis</x:v>
      </x:c>
      <x:c r="C1031" t="str">
        <x:v>Mujer</x:v>
      </x:c>
      <x:c r="D1031" t="str">
        <x:v>d) 15 a 19 años</x:v>
      </x:c>
      <x:c r="E1031" s="1" t="n">
        <x:v>6</x:v>
      </x:c>
    </x:row>
    <x:row r="1032">
      <x:c r="A1032" t="str">
        <x:v>MILPA ALTA</x:v>
      </x:c>
      <x:c r="B1032" t="str">
        <x:v>Xaluis</x:v>
      </x:c>
      <x:c r="C1032" t="str">
        <x:v>Mujer</x:v>
      </x:c>
      <x:c r="D1032" t="str">
        <x:v>e) 20 a 24 años</x:v>
      </x:c>
      <x:c r="E1032" s="1" t="n">
        <x:v>10</x:v>
      </x:c>
    </x:row>
    <x:row r="1033">
      <x:c r="A1033" t="str">
        <x:v>MILPA ALTA</x:v>
      </x:c>
      <x:c r="B1033" t="str">
        <x:v>Xaluis</x:v>
      </x:c>
      <x:c r="C1033" t="str">
        <x:v>Mujer</x:v>
      </x:c>
      <x:c r="D1033" t="str">
        <x:v>f) 25 a 29 años</x:v>
      </x:c>
      <x:c r="E1033" s="1" t="n">
        <x:v>12</x:v>
      </x:c>
    </x:row>
    <x:row r="1034">
      <x:c r="A1034" t="str">
        <x:v>MILPA ALTA</x:v>
      </x:c>
      <x:c r="B1034" t="str">
        <x:v>Xaluis</x:v>
      </x:c>
      <x:c r="C1034" t="str">
        <x:v>Mujer</x:v>
      </x:c>
      <x:c r="D1034" t="str">
        <x:v>g) 30 a 34 años</x:v>
      </x:c>
      <x:c r="E1034" s="1" t="n">
        <x:v>6</x:v>
      </x:c>
    </x:row>
    <x:row r="1035">
      <x:c r="A1035" t="str">
        <x:v>MILPA ALTA</x:v>
      </x:c>
      <x:c r="B1035" t="str">
        <x:v>Xaluis</x:v>
      </x:c>
      <x:c r="C1035" t="str">
        <x:v>Mujer</x:v>
      </x:c>
      <x:c r="D1035" t="str">
        <x:v>h) 35 a 39 años</x:v>
      </x:c>
      <x:c r="E1035" s="1" t="n">
        <x:v>7</x:v>
      </x:c>
    </x:row>
    <x:row r="1036">
      <x:c r="A1036" t="str">
        <x:v>MILPA ALTA</x:v>
      </x:c>
      <x:c r="B1036" t="str">
        <x:v>Xaluis</x:v>
      </x:c>
      <x:c r="C1036" t="str">
        <x:v>Mujer</x:v>
      </x:c>
      <x:c r="D1036" t="str">
        <x:v>i) 40 a 44 años</x:v>
      </x:c>
      <x:c r="E1036" s="1" t="n">
        <x:v>6</x:v>
      </x:c>
    </x:row>
    <x:row r="1037">
      <x:c r="A1037" t="str">
        <x:v>MILPA ALTA</x:v>
      </x:c>
      <x:c r="B1037" t="str">
        <x:v>Xaluis</x:v>
      </x:c>
      <x:c r="C1037" t="str">
        <x:v>Mujer</x:v>
      </x:c>
      <x:c r="D1037" t="str">
        <x:v>j) 45 a 49 años</x:v>
      </x:c>
      <x:c r="E1037" s="1" t="n">
        <x:v>5</x:v>
      </x:c>
    </x:row>
    <x:row r="1038">
      <x:c r="A1038" t="str">
        <x:v>MILPA ALTA</x:v>
      </x:c>
      <x:c r="B1038" t="str">
        <x:v>Xaluis</x:v>
      </x:c>
      <x:c r="C1038" t="str">
        <x:v>Mujer</x:v>
      </x:c>
      <x:c r="D1038" t="str">
        <x:v>k) 50 a 54 años</x:v>
      </x:c>
      <x:c r="E1038" s="1" t="n">
        <x:v>6</x:v>
      </x:c>
    </x:row>
    <x:row r="1039">
      <x:c r="A1039" t="str">
        <x:v>MILPA ALTA</x:v>
      </x:c>
      <x:c r="B1039" t="str">
        <x:v>Xaluis</x:v>
      </x:c>
      <x:c r="C1039" t="str">
        <x:v>Mujer</x:v>
      </x:c>
      <x:c r="D1039" t="str">
        <x:v>l) 55 a 59 años</x:v>
      </x:c>
      <x:c r="E1039" s="1" t="n">
        <x:v>2</x:v>
      </x:c>
    </x:row>
    <x:row r="1040">
      <x:c r="A1040" t="str">
        <x:v>MILPA ALTA</x:v>
      </x:c>
      <x:c r="B1040" t="str">
        <x:v>Xaluis</x:v>
      </x:c>
      <x:c r="C1040" t="str">
        <x:v>Mujer</x:v>
      </x:c>
      <x:c r="D1040" t="str">
        <x:v>m) 60 a 64 años</x:v>
      </x:c>
      <x:c r="E1040" s="1" t="n">
        <x:v>1</x:v>
      </x:c>
    </x:row>
    <x:row r="1041">
      <x:c r="A1041" t="str">
        <x:v>MILPA ALTA</x:v>
      </x:c>
      <x:c r="B1041" t="str">
        <x:v>Xaluis</x:v>
      </x:c>
      <x:c r="C1041" t="str">
        <x:v>Mujer</x:v>
      </x:c>
      <x:c r="D1041" t="str">
        <x:v>n) 65 a 69 años</x:v>
      </x:c>
      <x:c r="E1041" s="1" t="n">
        <x:v>1</x:v>
      </x:c>
    </x:row>
    <x:row r="1042">
      <x:c r="A1042" t="str">
        <x:v>MILPA ALTA</x:v>
      </x:c>
      <x:c r="B1042" t="str">
        <x:v>Xaluis</x:v>
      </x:c>
      <x:c r="C1042" t="str">
        <x:v>Mujer</x:v>
      </x:c>
      <x:c r="D1042" t="str">
        <x:v>o) 70 a 74 años</x:v>
      </x:c>
      <x:c r="E1042" s="1" t="n">
        <x:v>2</x:v>
      </x:c>
    </x:row>
    <x:row r="1043">
      <x:c r="A1043" t="str">
        <x:v>MILPA ALTA</x:v>
      </x:c>
      <x:c r="B1043" t="str">
        <x:v>Xaluis</x:v>
      </x:c>
      <x:c r="C1043" t="str">
        <x:v>Mujer</x:v>
      </x:c>
      <x:c r="D1043" t="str">
        <x:v>p) 75 a 79 años</x:v>
      </x:c>
      <x:c r="E1043" s="1" t="n">
        <x:v>2</x:v>
      </x:c>
    </x:row>
    <x:row r="1044">
      <x:c r="A1044" t="str">
        <x:v>MILPA ALTA</x:v>
      </x:c>
      <x:c r="B1044" t="str">
        <x:v>Xaluis</x:v>
      </x:c>
      <x:c r="C1044" t="str">
        <x:v>Mujer</x:v>
      </x:c>
      <x:c r="D1044" t="str">
        <x:v>q) 80 a 84 años</x:v>
      </x:c>
      <x:c r="E1044" s="1" t="n">
        <x:v>0</x:v>
      </x:c>
    </x:row>
    <x:row r="1045">
      <x:c r="A1045" t="str">
        <x:v>MILPA ALTA</x:v>
      </x:c>
      <x:c r="B1045" t="str">
        <x:v>Xaluis</x:v>
      </x:c>
      <x:c r="C1045" t="str">
        <x:v>Mujer</x:v>
      </x:c>
      <x:c r="D1045" t="str">
        <x:v>r) 85 años y más</x:v>
      </x:c>
      <x:c r="E1045" s="1" t="n">
        <x:v>0</x:v>
      </x:c>
    </x:row>
    <x:row r="1046">
      <x:c r="A1046" t="str">
        <x:v>MILPA ALTA</x:v>
      </x:c>
      <x:c r="B1046" t="str">
        <x:v>Tepetipac</x:v>
      </x:c>
      <x:c r="C1046" t="str">
        <x:v>Hombre</x:v>
      </x:c>
      <x:c r="D1046" t="str">
        <x:v>a) 0 a 4 años</x:v>
      </x:c>
      <x:c r="E1046" s="1" t="n">
        <x:v>10</x:v>
      </x:c>
    </x:row>
    <x:row r="1047">
      <x:c r="A1047" t="str">
        <x:v>MILPA ALTA</x:v>
      </x:c>
      <x:c r="B1047" t="str">
        <x:v>Tepetipac</x:v>
      </x:c>
      <x:c r="C1047" t="str">
        <x:v>Hombre</x:v>
      </x:c>
      <x:c r="D1047" t="str">
        <x:v>b) 5 a 9 años</x:v>
      </x:c>
      <x:c r="E1047" s="1" t="n">
        <x:v>12</x:v>
      </x:c>
    </x:row>
    <x:row r="1048">
      <x:c r="A1048" t="str">
        <x:v>MILPA ALTA</x:v>
      </x:c>
      <x:c r="B1048" t="str">
        <x:v>Tepetipac</x:v>
      </x:c>
      <x:c r="C1048" t="str">
        <x:v>Hombre</x:v>
      </x:c>
      <x:c r="D1048" t="str">
        <x:v>c) 10 a 14 años</x:v>
      </x:c>
      <x:c r="E1048" s="1" t="n">
        <x:v>10</x:v>
      </x:c>
    </x:row>
    <x:row r="1049">
      <x:c r="A1049" t="str">
        <x:v>MILPA ALTA</x:v>
      </x:c>
      <x:c r="B1049" t="str">
        <x:v>Tepetipac</x:v>
      </x:c>
      <x:c r="C1049" t="str">
        <x:v>Hombre</x:v>
      </x:c>
      <x:c r="D1049" t="str">
        <x:v>d) 15 a 19 años</x:v>
      </x:c>
      <x:c r="E1049" s="1" t="n">
        <x:v>18</x:v>
      </x:c>
    </x:row>
    <x:row r="1050">
      <x:c r="A1050" t="str">
        <x:v>MILPA ALTA</x:v>
      </x:c>
      <x:c r="B1050" t="str">
        <x:v>Tepetipac</x:v>
      </x:c>
      <x:c r="C1050" t="str">
        <x:v>Hombre</x:v>
      </x:c>
      <x:c r="D1050" t="str">
        <x:v>e) 20 a 24 años</x:v>
      </x:c>
      <x:c r="E1050" s="1" t="n">
        <x:v>6</x:v>
      </x:c>
    </x:row>
    <x:row r="1051">
      <x:c r="A1051" t="str">
        <x:v>MILPA ALTA</x:v>
      </x:c>
      <x:c r="B1051" t="str">
        <x:v>Tepetipac</x:v>
      </x:c>
      <x:c r="C1051" t="str">
        <x:v>Hombre</x:v>
      </x:c>
      <x:c r="D1051" t="str">
        <x:v>f) 25 a 29 años</x:v>
      </x:c>
      <x:c r="E1051" s="1" t="n">
        <x:v>10</x:v>
      </x:c>
    </x:row>
    <x:row r="1052">
      <x:c r="A1052" t="str">
        <x:v>MILPA ALTA</x:v>
      </x:c>
      <x:c r="B1052" t="str">
        <x:v>Tepetipac</x:v>
      </x:c>
      <x:c r="C1052" t="str">
        <x:v>Hombre</x:v>
      </x:c>
      <x:c r="D1052" t="str">
        <x:v>g) 30 a 34 años</x:v>
      </x:c>
      <x:c r="E1052" s="1" t="n">
        <x:v>7</x:v>
      </x:c>
    </x:row>
    <x:row r="1053">
      <x:c r="A1053" t="str">
        <x:v>MILPA ALTA</x:v>
      </x:c>
      <x:c r="B1053" t="str">
        <x:v>Tepetipac</x:v>
      </x:c>
      <x:c r="C1053" t="str">
        <x:v>Hombre</x:v>
      </x:c>
      <x:c r="D1053" t="str">
        <x:v>h) 35 a 39 años</x:v>
      </x:c>
      <x:c r="E1053" s="1" t="n">
        <x:v>8</x:v>
      </x:c>
    </x:row>
    <x:row r="1054">
      <x:c r="A1054" t="str">
        <x:v>MILPA ALTA</x:v>
      </x:c>
      <x:c r="B1054" t="str">
        <x:v>Tepetipac</x:v>
      </x:c>
      <x:c r="C1054" t="str">
        <x:v>Hombre</x:v>
      </x:c>
      <x:c r="D1054" t="str">
        <x:v>i) 40 a 44 años</x:v>
      </x:c>
      <x:c r="E1054" s="1" t="n">
        <x:v>8</x:v>
      </x:c>
    </x:row>
    <x:row r="1055">
      <x:c r="A1055" t="str">
        <x:v>MILPA ALTA</x:v>
      </x:c>
      <x:c r="B1055" t="str">
        <x:v>Tepetipac</x:v>
      </x:c>
      <x:c r="C1055" t="str">
        <x:v>Hombre</x:v>
      </x:c>
      <x:c r="D1055" t="str">
        <x:v>j) 45 a 49 años</x:v>
      </x:c>
      <x:c r="E1055" s="1" t="n">
        <x:v>12</x:v>
      </x:c>
    </x:row>
    <x:row r="1056">
      <x:c r="A1056" t="str">
        <x:v>MILPA ALTA</x:v>
      </x:c>
      <x:c r="B1056" t="str">
        <x:v>Tepetipac</x:v>
      </x:c>
      <x:c r="C1056" t="str">
        <x:v>Hombre</x:v>
      </x:c>
      <x:c r="D1056" t="str">
        <x:v>k) 50 a 54 años</x:v>
      </x:c>
      <x:c r="E1056" s="1" t="n">
        <x:v>10</x:v>
      </x:c>
    </x:row>
    <x:row r="1057">
      <x:c r="A1057" t="str">
        <x:v>MILPA ALTA</x:v>
      </x:c>
      <x:c r="B1057" t="str">
        <x:v>Tepetipac</x:v>
      </x:c>
      <x:c r="C1057" t="str">
        <x:v>Hombre</x:v>
      </x:c>
      <x:c r="D1057" t="str">
        <x:v>l) 55 a 59 años</x:v>
      </x:c>
      <x:c r="E1057" s="1" t="n">
        <x:v>7</x:v>
      </x:c>
    </x:row>
    <x:row r="1058">
      <x:c r="A1058" t="str">
        <x:v>MILPA ALTA</x:v>
      </x:c>
      <x:c r="B1058" t="str">
        <x:v>Tepetipac</x:v>
      </x:c>
      <x:c r="C1058" t="str">
        <x:v>Hombre</x:v>
      </x:c>
      <x:c r="D1058" t="str">
        <x:v>m) 60 a 64 años</x:v>
      </x:c>
      <x:c r="E1058" s="1" t="n">
        <x:v>1</x:v>
      </x:c>
    </x:row>
    <x:row r="1059">
      <x:c r="A1059" t="str">
        <x:v>MILPA ALTA</x:v>
      </x:c>
      <x:c r="B1059" t="str">
        <x:v>Tepetipac</x:v>
      </x:c>
      <x:c r="C1059" t="str">
        <x:v>Hombre</x:v>
      </x:c>
      <x:c r="D1059" t="str">
        <x:v>n) 65 a 69 años</x:v>
      </x:c>
      <x:c r="E1059" s="1" t="n">
        <x:v>4</x:v>
      </x:c>
    </x:row>
    <x:row r="1060">
      <x:c r="A1060" t="str">
        <x:v>MILPA ALTA</x:v>
      </x:c>
      <x:c r="B1060" t="str">
        <x:v>Tepetipac</x:v>
      </x:c>
      <x:c r="C1060" t="str">
        <x:v>Hombre</x:v>
      </x:c>
      <x:c r="D1060" t="str">
        <x:v>o) 70 a 74 años</x:v>
      </x:c>
      <x:c r="E1060" s="1" t="n">
        <x:v>0</x:v>
      </x:c>
    </x:row>
    <x:row r="1061">
      <x:c r="A1061" t="str">
        <x:v>MILPA ALTA</x:v>
      </x:c>
      <x:c r="B1061" t="str">
        <x:v>Tepetipac</x:v>
      </x:c>
      <x:c r="C1061" t="str">
        <x:v>Hombre</x:v>
      </x:c>
      <x:c r="D1061" t="str">
        <x:v>p) 75 a 79 años</x:v>
      </x:c>
      <x:c r="E1061" s="1" t="n">
        <x:v>1</x:v>
      </x:c>
    </x:row>
    <x:row r="1062">
      <x:c r="A1062" t="str">
        <x:v>MILPA ALTA</x:v>
      </x:c>
      <x:c r="B1062" t="str">
        <x:v>Tepetipac</x:v>
      </x:c>
      <x:c r="C1062" t="str">
        <x:v>Hombre</x:v>
      </x:c>
      <x:c r="D1062" t="str">
        <x:v>q) 80 a 84 años</x:v>
      </x:c>
      <x:c r="E1062" s="1" t="n">
        <x:v>1</x:v>
      </x:c>
    </x:row>
    <x:row r="1063">
      <x:c r="A1063" t="str">
        <x:v>MILPA ALTA</x:v>
      </x:c>
      <x:c r="B1063" t="str">
        <x:v>Tepetipac</x:v>
      </x:c>
      <x:c r="C1063" t="str">
        <x:v>Hombre</x:v>
      </x:c>
      <x:c r="D1063" t="str">
        <x:v>r) 85 años y más</x:v>
      </x:c>
      <x:c r="E1063" s="1" t="n">
        <x:v>0</x:v>
      </x:c>
    </x:row>
    <x:row r="1064">
      <x:c r="A1064" t="str">
        <x:v>MILPA ALTA</x:v>
      </x:c>
      <x:c r="B1064" t="str">
        <x:v>Tepetipac</x:v>
      </x:c>
      <x:c r="C1064" t="str">
        <x:v>Mujer</x:v>
      </x:c>
      <x:c r="D1064" t="str">
        <x:v>a) 0 a 4 años</x:v>
      </x:c>
      <x:c r="E1064" s="1" t="n">
        <x:v>13</x:v>
      </x:c>
    </x:row>
    <x:row r="1065">
      <x:c r="A1065" t="str">
        <x:v>MILPA ALTA</x:v>
      </x:c>
      <x:c r="B1065" t="str">
        <x:v>Tepetipac</x:v>
      </x:c>
      <x:c r="C1065" t="str">
        <x:v>Mujer</x:v>
      </x:c>
      <x:c r="D1065" t="str">
        <x:v>b) 5 a 9 años</x:v>
      </x:c>
      <x:c r="E1065" s="1" t="n">
        <x:v>18</x:v>
      </x:c>
    </x:row>
    <x:row r="1066">
      <x:c r="A1066" t="str">
        <x:v>MILPA ALTA</x:v>
      </x:c>
      <x:c r="B1066" t="str">
        <x:v>Tepetipac</x:v>
      </x:c>
      <x:c r="C1066" t="str">
        <x:v>Mujer</x:v>
      </x:c>
      <x:c r="D1066" t="str">
        <x:v>c) 10 a 14 años</x:v>
      </x:c>
      <x:c r="E1066" s="1" t="n">
        <x:v>11</x:v>
      </x:c>
    </x:row>
    <x:row r="1067">
      <x:c r="A1067" t="str">
        <x:v>MILPA ALTA</x:v>
      </x:c>
      <x:c r="B1067" t="str">
        <x:v>Tepetipac</x:v>
      </x:c>
      <x:c r="C1067" t="str">
        <x:v>Mujer</x:v>
      </x:c>
      <x:c r="D1067" t="str">
        <x:v>d) 15 a 19 años</x:v>
      </x:c>
      <x:c r="E1067" s="1" t="n">
        <x:v>11</x:v>
      </x:c>
    </x:row>
    <x:row r="1068">
      <x:c r="A1068" t="str">
        <x:v>MILPA ALTA</x:v>
      </x:c>
      <x:c r="B1068" t="str">
        <x:v>Tepetipac</x:v>
      </x:c>
      <x:c r="C1068" t="str">
        <x:v>Mujer</x:v>
      </x:c>
      <x:c r="D1068" t="str">
        <x:v>e) 20 a 24 años</x:v>
      </x:c>
      <x:c r="E1068" s="1" t="n">
        <x:v>19</x:v>
      </x:c>
    </x:row>
    <x:row r="1069">
      <x:c r="A1069" t="str">
        <x:v>MILPA ALTA</x:v>
      </x:c>
      <x:c r="B1069" t="str">
        <x:v>Tepetipac</x:v>
      </x:c>
      <x:c r="C1069" t="str">
        <x:v>Mujer</x:v>
      </x:c>
      <x:c r="D1069" t="str">
        <x:v>f) 25 a 29 años</x:v>
      </x:c>
      <x:c r="E1069" s="1" t="n">
        <x:v>21</x:v>
      </x:c>
    </x:row>
    <x:row r="1070">
      <x:c r="A1070" t="str">
        <x:v>MILPA ALTA</x:v>
      </x:c>
      <x:c r="B1070" t="str">
        <x:v>Tepetipac</x:v>
      </x:c>
      <x:c r="C1070" t="str">
        <x:v>Mujer</x:v>
      </x:c>
      <x:c r="D1070" t="str">
        <x:v>g) 30 a 34 años</x:v>
      </x:c>
      <x:c r="E1070" s="1" t="n">
        <x:v>8</x:v>
      </x:c>
    </x:row>
    <x:row r="1071">
      <x:c r="A1071" t="str">
        <x:v>MILPA ALTA</x:v>
      </x:c>
      <x:c r="B1071" t="str">
        <x:v>Tepetipac</x:v>
      </x:c>
      <x:c r="C1071" t="str">
        <x:v>Mujer</x:v>
      </x:c>
      <x:c r="D1071" t="str">
        <x:v>h) 35 a 39 años</x:v>
      </x:c>
      <x:c r="E1071" s="1" t="n">
        <x:v>12</x:v>
      </x:c>
    </x:row>
    <x:row r="1072">
      <x:c r="A1072" t="str">
        <x:v>MILPA ALTA</x:v>
      </x:c>
      <x:c r="B1072" t="str">
        <x:v>Tepetipac</x:v>
      </x:c>
      <x:c r="C1072" t="str">
        <x:v>Mujer</x:v>
      </x:c>
      <x:c r="D1072" t="str">
        <x:v>i) 40 a 44 años</x:v>
      </x:c>
      <x:c r="E1072" s="1" t="n">
        <x:v>9</x:v>
      </x:c>
    </x:row>
    <x:row r="1073">
      <x:c r="A1073" t="str">
        <x:v>MILPA ALTA</x:v>
      </x:c>
      <x:c r="B1073" t="str">
        <x:v>Tepetipac</x:v>
      </x:c>
      <x:c r="C1073" t="str">
        <x:v>Mujer</x:v>
      </x:c>
      <x:c r="D1073" t="str">
        <x:v>j) 45 a 49 años</x:v>
      </x:c>
      <x:c r="E1073" s="1" t="n">
        <x:v>11</x:v>
      </x:c>
    </x:row>
    <x:row r="1074">
      <x:c r="A1074" t="str">
        <x:v>MILPA ALTA</x:v>
      </x:c>
      <x:c r="B1074" t="str">
        <x:v>Tepetipac</x:v>
      </x:c>
      <x:c r="C1074" t="str">
        <x:v>Mujer</x:v>
      </x:c>
      <x:c r="D1074" t="str">
        <x:v>k) 50 a 54 años</x:v>
      </x:c>
      <x:c r="E1074" s="1" t="n">
        <x:v>8</x:v>
      </x:c>
    </x:row>
    <x:row r="1075">
      <x:c r="A1075" t="str">
        <x:v>MILPA ALTA</x:v>
      </x:c>
      <x:c r="B1075" t="str">
        <x:v>Tepetipac</x:v>
      </x:c>
      <x:c r="C1075" t="str">
        <x:v>Mujer</x:v>
      </x:c>
      <x:c r="D1075" t="str">
        <x:v>l) 55 a 59 años</x:v>
      </x:c>
      <x:c r="E1075" s="1" t="n">
        <x:v>2</x:v>
      </x:c>
    </x:row>
    <x:row r="1076">
      <x:c r="A1076" t="str">
        <x:v>MILPA ALTA</x:v>
      </x:c>
      <x:c r="B1076" t="str">
        <x:v>Tepetipac</x:v>
      </x:c>
      <x:c r="C1076" t="str">
        <x:v>Mujer</x:v>
      </x:c>
      <x:c r="D1076" t="str">
        <x:v>m) 60 a 64 años</x:v>
      </x:c>
      <x:c r="E1076" s="1" t="n">
        <x:v>4</x:v>
      </x:c>
    </x:row>
    <x:row r="1077">
      <x:c r="A1077" t="str">
        <x:v>MILPA ALTA</x:v>
      </x:c>
      <x:c r="B1077" t="str">
        <x:v>Tepetipac</x:v>
      </x:c>
      <x:c r="C1077" t="str">
        <x:v>Mujer</x:v>
      </x:c>
      <x:c r="D1077" t="str">
        <x:v>n) 65 a 69 años</x:v>
      </x:c>
      <x:c r="E1077" s="1" t="n">
        <x:v>2</x:v>
      </x:c>
    </x:row>
    <x:row r="1078">
      <x:c r="A1078" t="str">
        <x:v>MILPA ALTA</x:v>
      </x:c>
      <x:c r="B1078" t="str">
        <x:v>Tepetipac</x:v>
      </x:c>
      <x:c r="C1078" t="str">
        <x:v>Mujer</x:v>
      </x:c>
      <x:c r="D1078" t="str">
        <x:v>o) 70 a 74 años</x:v>
      </x:c>
      <x:c r="E1078" s="1" t="n">
        <x:v>1</x:v>
      </x:c>
    </x:row>
    <x:row r="1079">
      <x:c r="A1079" t="str">
        <x:v>MILPA ALTA</x:v>
      </x:c>
      <x:c r="B1079" t="str">
        <x:v>Tepetipac</x:v>
      </x:c>
      <x:c r="C1079" t="str">
        <x:v>Mujer</x:v>
      </x:c>
      <x:c r="D1079" t="str">
        <x:v>p) 75 a 79 años</x:v>
      </x:c>
      <x:c r="E1079" s="1" t="n">
        <x:v>0</x:v>
      </x:c>
    </x:row>
    <x:row r="1080">
      <x:c r="A1080" t="str">
        <x:v>MILPA ALTA</x:v>
      </x:c>
      <x:c r="B1080" t="str">
        <x:v>Tepetipac</x:v>
      </x:c>
      <x:c r="C1080" t="str">
        <x:v>Mujer</x:v>
      </x:c>
      <x:c r="D1080" t="str">
        <x:v>q) 80 a 84 años</x:v>
      </x:c>
      <x:c r="E1080" s="1" t="n">
        <x:v>2</x:v>
      </x:c>
    </x:row>
    <x:row r="1081">
      <x:c r="A1081" t="str">
        <x:v>MILPA ALTA</x:v>
      </x:c>
      <x:c r="B1081" t="str">
        <x:v>Tepetipac</x:v>
      </x:c>
      <x:c r="C1081" t="str">
        <x:v>Mujer</x:v>
      </x:c>
      <x:c r="D1081" t="str">
        <x:v>r) 85 años y más</x:v>
      </x:c>
      <x:c r="E1081" s="1" t="n">
        <x:v>0</x:v>
      </x:c>
    </x:row>
    <x:row r="1082">
      <x:c r="A1082" t="str">
        <x:v>MILPA ALTA</x:v>
      </x:c>
      <x:c r="B1082" t="str">
        <x:v>Mecalco (Camino al Mirador)</x:v>
      </x:c>
      <x:c r="C1082" t="str">
        <x:v>Hombre</x:v>
      </x:c>
      <x:c r="D1082" t="str">
        <x:v>a) 0 a 4 años</x:v>
      </x:c>
      <x:c r="E1082" s="1" t="n">
        <x:v>10</x:v>
      </x:c>
    </x:row>
    <x:row r="1083">
      <x:c r="A1083" t="str">
        <x:v>MILPA ALTA</x:v>
      </x:c>
      <x:c r="B1083" t="str">
        <x:v>Mecalco (Camino al Mirador)</x:v>
      </x:c>
      <x:c r="C1083" t="str">
        <x:v>Hombre</x:v>
      </x:c>
      <x:c r="D1083" t="str">
        <x:v>b) 5 a 9 años</x:v>
      </x:c>
      <x:c r="E1083" s="1" t="n">
        <x:v>12</x:v>
      </x:c>
    </x:row>
    <x:row r="1084">
      <x:c r="A1084" t="str">
        <x:v>MILPA ALTA</x:v>
      </x:c>
      <x:c r="B1084" t="str">
        <x:v>Mecalco (Camino al Mirador)</x:v>
      </x:c>
      <x:c r="C1084" t="str">
        <x:v>Hombre</x:v>
      </x:c>
      <x:c r="D1084" t="str">
        <x:v>c) 10 a 14 años</x:v>
      </x:c>
      <x:c r="E1084" s="1" t="n">
        <x:v>5</x:v>
      </x:c>
    </x:row>
    <x:row r="1085">
      <x:c r="A1085" t="str">
        <x:v>MILPA ALTA</x:v>
      </x:c>
      <x:c r="B1085" t="str">
        <x:v>Mecalco (Camino al Mirador)</x:v>
      </x:c>
      <x:c r="C1085" t="str">
        <x:v>Hombre</x:v>
      </x:c>
      <x:c r="D1085" t="str">
        <x:v>d) 15 a 19 años</x:v>
      </x:c>
      <x:c r="E1085" s="1" t="n">
        <x:v>9</x:v>
      </x:c>
    </x:row>
    <x:row r="1086">
      <x:c r="A1086" t="str">
        <x:v>MILPA ALTA</x:v>
      </x:c>
      <x:c r="B1086" t="str">
        <x:v>Mecalco (Camino al Mirador)</x:v>
      </x:c>
      <x:c r="C1086" t="str">
        <x:v>Hombre</x:v>
      </x:c>
      <x:c r="D1086" t="str">
        <x:v>e) 20 a 24 años</x:v>
      </x:c>
      <x:c r="E1086" s="1" t="n">
        <x:v>9</x:v>
      </x:c>
    </x:row>
    <x:row r="1087">
      <x:c r="A1087" t="str">
        <x:v>MILPA ALTA</x:v>
      </x:c>
      <x:c r="B1087" t="str">
        <x:v>Mecalco (Camino al Mirador)</x:v>
      </x:c>
      <x:c r="C1087" t="str">
        <x:v>Hombre</x:v>
      </x:c>
      <x:c r="D1087" t="str">
        <x:v>f) 25 a 29 años</x:v>
      </x:c>
      <x:c r="E1087" s="1" t="n">
        <x:v>9</x:v>
      </x:c>
    </x:row>
    <x:row r="1088">
      <x:c r="A1088" t="str">
        <x:v>MILPA ALTA</x:v>
      </x:c>
      <x:c r="B1088" t="str">
        <x:v>Mecalco (Camino al Mirador)</x:v>
      </x:c>
      <x:c r="C1088" t="str">
        <x:v>Hombre</x:v>
      </x:c>
      <x:c r="D1088" t="str">
        <x:v>g) 30 a 34 años</x:v>
      </x:c>
      <x:c r="E1088" s="1" t="n">
        <x:v>13</x:v>
      </x:c>
    </x:row>
    <x:row r="1089">
      <x:c r="A1089" t="str">
        <x:v>MILPA ALTA</x:v>
      </x:c>
      <x:c r="B1089" t="str">
        <x:v>Mecalco (Camino al Mirador)</x:v>
      </x:c>
      <x:c r="C1089" t="str">
        <x:v>Hombre</x:v>
      </x:c>
      <x:c r="D1089" t="str">
        <x:v>h) 35 a 39 años</x:v>
      </x:c>
      <x:c r="E1089" s="1" t="n">
        <x:v>8</x:v>
      </x:c>
    </x:row>
    <x:row r="1090">
      <x:c r="A1090" t="str">
        <x:v>MILPA ALTA</x:v>
      </x:c>
      <x:c r="B1090" t="str">
        <x:v>Mecalco (Camino al Mirador)</x:v>
      </x:c>
      <x:c r="C1090" t="str">
        <x:v>Hombre</x:v>
      </x:c>
      <x:c r="D1090" t="str">
        <x:v>i) 40 a 44 años</x:v>
      </x:c>
      <x:c r="E1090" s="1" t="n">
        <x:v>9</x:v>
      </x:c>
    </x:row>
    <x:row r="1091">
      <x:c r="A1091" t="str">
        <x:v>MILPA ALTA</x:v>
      </x:c>
      <x:c r="B1091" t="str">
        <x:v>Mecalco (Camino al Mirador)</x:v>
      </x:c>
      <x:c r="C1091" t="str">
        <x:v>Hombre</x:v>
      </x:c>
      <x:c r="D1091" t="str">
        <x:v>j) 45 a 49 años</x:v>
      </x:c>
      <x:c r="E1091" s="1" t="n">
        <x:v>7</x:v>
      </x:c>
    </x:row>
    <x:row r="1092">
      <x:c r="A1092" t="str">
        <x:v>MILPA ALTA</x:v>
      </x:c>
      <x:c r="B1092" t="str">
        <x:v>Mecalco (Camino al Mirador)</x:v>
      </x:c>
      <x:c r="C1092" t="str">
        <x:v>Hombre</x:v>
      </x:c>
      <x:c r="D1092" t="str">
        <x:v>k) 50 a 54 años</x:v>
      </x:c>
      <x:c r="E1092" s="1" t="n">
        <x:v>3</x:v>
      </x:c>
    </x:row>
    <x:row r="1093">
      <x:c r="A1093" t="str">
        <x:v>MILPA ALTA</x:v>
      </x:c>
      <x:c r="B1093" t="str">
        <x:v>Mecalco (Camino al Mirador)</x:v>
      </x:c>
      <x:c r="C1093" t="str">
        <x:v>Hombre</x:v>
      </x:c>
      <x:c r="D1093" t="str">
        <x:v>l) 55 a 59 años</x:v>
      </x:c>
      <x:c r="E1093" s="1" t="n">
        <x:v>9</x:v>
      </x:c>
    </x:row>
    <x:row r="1094">
      <x:c r="A1094" t="str">
        <x:v>MILPA ALTA</x:v>
      </x:c>
      <x:c r="B1094" t="str">
        <x:v>Mecalco (Camino al Mirador)</x:v>
      </x:c>
      <x:c r="C1094" t="str">
        <x:v>Hombre</x:v>
      </x:c>
      <x:c r="D1094" t="str">
        <x:v>m) 60 a 64 años</x:v>
      </x:c>
      <x:c r="E1094" s="1" t="n">
        <x:v>2</x:v>
      </x:c>
    </x:row>
    <x:row r="1095">
      <x:c r="A1095" t="str">
        <x:v>MILPA ALTA</x:v>
      </x:c>
      <x:c r="B1095" t="str">
        <x:v>Mecalco (Camino al Mirador)</x:v>
      </x:c>
      <x:c r="C1095" t="str">
        <x:v>Hombre</x:v>
      </x:c>
      <x:c r="D1095" t="str">
        <x:v>n) 65 a 69 años</x:v>
      </x:c>
      <x:c r="E1095" s="1" t="n">
        <x:v>3</x:v>
      </x:c>
    </x:row>
    <x:row r="1096">
      <x:c r="A1096" t="str">
        <x:v>MILPA ALTA</x:v>
      </x:c>
      <x:c r="B1096" t="str">
        <x:v>Mecalco (Camino al Mirador)</x:v>
      </x:c>
      <x:c r="C1096" t="str">
        <x:v>Hombre</x:v>
      </x:c>
      <x:c r="D1096" t="str">
        <x:v>o) 70 a 74 años</x:v>
      </x:c>
      <x:c r="E1096" s="1" t="n">
        <x:v>3</x:v>
      </x:c>
    </x:row>
    <x:row r="1097">
      <x:c r="A1097" t="str">
        <x:v>MILPA ALTA</x:v>
      </x:c>
      <x:c r="B1097" t="str">
        <x:v>Mecalco (Camino al Mirador)</x:v>
      </x:c>
      <x:c r="C1097" t="str">
        <x:v>Hombre</x:v>
      </x:c>
      <x:c r="D1097" t="str">
        <x:v>p) 75 a 79 años</x:v>
      </x:c>
      <x:c r="E1097" s="1" t="n">
        <x:v>3</x:v>
      </x:c>
    </x:row>
    <x:row r="1098">
      <x:c r="A1098" t="str">
        <x:v>MILPA ALTA</x:v>
      </x:c>
      <x:c r="B1098" t="str">
        <x:v>Mecalco (Camino al Mirador)</x:v>
      </x:c>
      <x:c r="C1098" t="str">
        <x:v>Hombre</x:v>
      </x:c>
      <x:c r="D1098" t="str">
        <x:v>q) 80 a 84 años</x:v>
      </x:c>
      <x:c r="E1098" s="1" t="n">
        <x:v>0</x:v>
      </x:c>
    </x:row>
    <x:row r="1099">
      <x:c r="A1099" t="str">
        <x:v>MILPA ALTA</x:v>
      </x:c>
      <x:c r="B1099" t="str">
        <x:v>Mecalco (Camino al Mirador)</x:v>
      </x:c>
      <x:c r="C1099" t="str">
        <x:v>Hombre</x:v>
      </x:c>
      <x:c r="D1099" t="str">
        <x:v>r) 85 años y más</x:v>
      </x:c>
      <x:c r="E1099" s="1" t="n">
        <x:v>0</x:v>
      </x:c>
    </x:row>
    <x:row r="1100">
      <x:c r="A1100" t="str">
        <x:v>MILPA ALTA</x:v>
      </x:c>
      <x:c r="B1100" t="str">
        <x:v>Mecalco (Camino al Mirador)</x:v>
      </x:c>
      <x:c r="C1100" t="str">
        <x:v>Mujer</x:v>
      </x:c>
      <x:c r="D1100" t="str">
        <x:v>a) 0 a 4 años</x:v>
      </x:c>
      <x:c r="E1100" s="1" t="n">
        <x:v>7</x:v>
      </x:c>
    </x:row>
    <x:row r="1101">
      <x:c r="A1101" t="str">
        <x:v>MILPA ALTA</x:v>
      </x:c>
      <x:c r="B1101" t="str">
        <x:v>Mecalco (Camino al Mirador)</x:v>
      </x:c>
      <x:c r="C1101" t="str">
        <x:v>Mujer</x:v>
      </x:c>
      <x:c r="D1101" t="str">
        <x:v>b) 5 a 9 años</x:v>
      </x:c>
      <x:c r="E1101" s="1" t="n">
        <x:v>12</x:v>
      </x:c>
    </x:row>
    <x:row r="1102">
      <x:c r="A1102" t="str">
        <x:v>MILPA ALTA</x:v>
      </x:c>
      <x:c r="B1102" t="str">
        <x:v>Mecalco (Camino al Mirador)</x:v>
      </x:c>
      <x:c r="C1102" t="str">
        <x:v>Mujer</x:v>
      </x:c>
      <x:c r="D1102" t="str">
        <x:v>c) 10 a 14 años</x:v>
      </x:c>
      <x:c r="E1102" s="1" t="n">
        <x:v>14</x:v>
      </x:c>
    </x:row>
    <x:row r="1103">
      <x:c r="A1103" t="str">
        <x:v>MILPA ALTA</x:v>
      </x:c>
      <x:c r="B1103" t="str">
        <x:v>Mecalco (Camino al Mirador)</x:v>
      </x:c>
      <x:c r="C1103" t="str">
        <x:v>Mujer</x:v>
      </x:c>
      <x:c r="D1103" t="str">
        <x:v>d) 15 a 19 años</x:v>
      </x:c>
      <x:c r="E1103" s="1" t="n">
        <x:v>10</x:v>
      </x:c>
    </x:row>
    <x:row r="1104">
      <x:c r="A1104" t="str">
        <x:v>MILPA ALTA</x:v>
      </x:c>
      <x:c r="B1104" t="str">
        <x:v>Mecalco (Camino al Mirador)</x:v>
      </x:c>
      <x:c r="C1104" t="str">
        <x:v>Mujer</x:v>
      </x:c>
      <x:c r="D1104" t="str">
        <x:v>e) 20 a 24 años</x:v>
      </x:c>
      <x:c r="E1104" s="1" t="n">
        <x:v>8</x:v>
      </x:c>
    </x:row>
    <x:row r="1105">
      <x:c r="A1105" t="str">
        <x:v>MILPA ALTA</x:v>
      </x:c>
      <x:c r="B1105" t="str">
        <x:v>Mecalco (Camino al Mirador)</x:v>
      </x:c>
      <x:c r="C1105" t="str">
        <x:v>Mujer</x:v>
      </x:c>
      <x:c r="D1105" t="str">
        <x:v>f) 25 a 29 años</x:v>
      </x:c>
      <x:c r="E1105" s="1" t="n">
        <x:v>15</x:v>
      </x:c>
    </x:row>
    <x:row r="1106">
      <x:c r="A1106" t="str">
        <x:v>MILPA ALTA</x:v>
      </x:c>
      <x:c r="B1106" t="str">
        <x:v>Mecalco (Camino al Mirador)</x:v>
      </x:c>
      <x:c r="C1106" t="str">
        <x:v>Mujer</x:v>
      </x:c>
      <x:c r="D1106" t="str">
        <x:v>g) 30 a 34 años</x:v>
      </x:c>
      <x:c r="E1106" s="1" t="n">
        <x:v>12</x:v>
      </x:c>
    </x:row>
    <x:row r="1107">
      <x:c r="A1107" t="str">
        <x:v>MILPA ALTA</x:v>
      </x:c>
      <x:c r="B1107" t="str">
        <x:v>Mecalco (Camino al Mirador)</x:v>
      </x:c>
      <x:c r="C1107" t="str">
        <x:v>Mujer</x:v>
      </x:c>
      <x:c r="D1107" t="str">
        <x:v>h) 35 a 39 años</x:v>
      </x:c>
      <x:c r="E1107" s="1" t="n">
        <x:v>7</x:v>
      </x:c>
    </x:row>
    <x:row r="1108">
      <x:c r="A1108" t="str">
        <x:v>MILPA ALTA</x:v>
      </x:c>
      <x:c r="B1108" t="str">
        <x:v>Mecalco (Camino al Mirador)</x:v>
      </x:c>
      <x:c r="C1108" t="str">
        <x:v>Mujer</x:v>
      </x:c>
      <x:c r="D1108" t="str">
        <x:v>i) 40 a 44 años</x:v>
      </x:c>
      <x:c r="E1108" s="1" t="n">
        <x:v>6</x:v>
      </x:c>
    </x:row>
    <x:row r="1109">
      <x:c r="A1109" t="str">
        <x:v>MILPA ALTA</x:v>
      </x:c>
      <x:c r="B1109" t="str">
        <x:v>Mecalco (Camino al Mirador)</x:v>
      </x:c>
      <x:c r="C1109" t="str">
        <x:v>Mujer</x:v>
      </x:c>
      <x:c r="D1109" t="str">
        <x:v>j) 45 a 49 años</x:v>
      </x:c>
      <x:c r="E1109" s="1" t="n">
        <x:v>3</x:v>
      </x:c>
    </x:row>
    <x:row r="1110">
      <x:c r="A1110" t="str">
        <x:v>MILPA ALTA</x:v>
      </x:c>
      <x:c r="B1110" t="str">
        <x:v>Mecalco (Camino al Mirador)</x:v>
      </x:c>
      <x:c r="C1110" t="str">
        <x:v>Mujer</x:v>
      </x:c>
      <x:c r="D1110" t="str">
        <x:v>k) 50 a 54 años</x:v>
      </x:c>
      <x:c r="E1110" s="1" t="n">
        <x:v>9</x:v>
      </x:c>
    </x:row>
    <x:row r="1111">
      <x:c r="A1111" t="str">
        <x:v>MILPA ALTA</x:v>
      </x:c>
      <x:c r="B1111" t="str">
        <x:v>Mecalco (Camino al Mirador)</x:v>
      </x:c>
      <x:c r="C1111" t="str">
        <x:v>Mujer</x:v>
      </x:c>
      <x:c r="D1111" t="str">
        <x:v>l) 55 a 59 años</x:v>
      </x:c>
      <x:c r="E1111" s="1" t="n">
        <x:v>2</x:v>
      </x:c>
    </x:row>
    <x:row r="1112">
      <x:c r="A1112" t="str">
        <x:v>MILPA ALTA</x:v>
      </x:c>
      <x:c r="B1112" t="str">
        <x:v>Mecalco (Camino al Mirador)</x:v>
      </x:c>
      <x:c r="C1112" t="str">
        <x:v>Mujer</x:v>
      </x:c>
      <x:c r="D1112" t="str">
        <x:v>m) 60 a 64 años</x:v>
      </x:c>
      <x:c r="E1112" s="1" t="n">
        <x:v>4</x:v>
      </x:c>
    </x:row>
    <x:row r="1113">
      <x:c r="A1113" t="str">
        <x:v>MILPA ALTA</x:v>
      </x:c>
      <x:c r="B1113" t="str">
        <x:v>Mecalco (Camino al Mirador)</x:v>
      </x:c>
      <x:c r="C1113" t="str">
        <x:v>Mujer</x:v>
      </x:c>
      <x:c r="D1113" t="str">
        <x:v>n) 65 a 69 años</x:v>
      </x:c>
      <x:c r="E1113" s="1" t="n">
        <x:v>5</x:v>
      </x:c>
    </x:row>
    <x:row r="1114">
      <x:c r="A1114" t="str">
        <x:v>MILPA ALTA</x:v>
      </x:c>
      <x:c r="B1114" t="str">
        <x:v>Mecalco (Camino al Mirador)</x:v>
      </x:c>
      <x:c r="C1114" t="str">
        <x:v>Mujer</x:v>
      </x:c>
      <x:c r="D1114" t="str">
        <x:v>o) 70 a 74 años</x:v>
      </x:c>
      <x:c r="E1114" s="1" t="n">
        <x:v>2</x:v>
      </x:c>
    </x:row>
    <x:row r="1115">
      <x:c r="A1115" t="str">
        <x:v>MILPA ALTA</x:v>
      </x:c>
      <x:c r="B1115" t="str">
        <x:v>Mecalco (Camino al Mirador)</x:v>
      </x:c>
      <x:c r="C1115" t="str">
        <x:v>Mujer</x:v>
      </x:c>
      <x:c r="D1115" t="str">
        <x:v>p) 75 a 79 años</x:v>
      </x:c>
      <x:c r="E1115" s="1" t="n">
        <x:v>0</x:v>
      </x:c>
    </x:row>
    <x:row r="1116">
      <x:c r="A1116" t="str">
        <x:v>MILPA ALTA</x:v>
      </x:c>
      <x:c r="B1116" t="str">
        <x:v>Mecalco (Camino al Mirador)</x:v>
      </x:c>
      <x:c r="C1116" t="str">
        <x:v>Mujer</x:v>
      </x:c>
      <x:c r="D1116" t="str">
        <x:v>q) 80 a 84 años</x:v>
      </x:c>
      <x:c r="E1116" s="1" t="n">
        <x:v>2</x:v>
      </x:c>
    </x:row>
    <x:row r="1117">
      <x:c r="A1117" t="str">
        <x:v>MILPA ALTA</x:v>
      </x:c>
      <x:c r="B1117" t="str">
        <x:v>Mecalco (Camino al Mirador)</x:v>
      </x:c>
      <x:c r="C1117" t="str">
        <x:v>Mujer</x:v>
      </x:c>
      <x:c r="D1117" t="str">
        <x:v>r) 85 años y más</x:v>
      </x:c>
      <x:c r="E1117" s="1" t="n">
        <x:v>0</x:v>
      </x:c>
    </x:row>
    <x:row r="1118">
      <x:c r="A1118" t="str">
        <x:v>MILPA ALTA</x:v>
      </x:c>
      <x:c r="B1118" t="str">
        <x:v>Zacazontlipac</x:v>
      </x:c>
      <x:c r="C1118" t="str">
        <x:v>Hombre</x:v>
      </x:c>
      <x:c r="D1118" t="str">
        <x:v>a) 0 a 4 años</x:v>
      </x:c>
      <x:c r="E1118" s="1" t="n">
        <x:v>12</x:v>
      </x:c>
    </x:row>
    <x:row r="1119">
      <x:c r="A1119" t="str">
        <x:v>MILPA ALTA</x:v>
      </x:c>
      <x:c r="B1119" t="str">
        <x:v>Zacazontlipac</x:v>
      </x:c>
      <x:c r="C1119" t="str">
        <x:v>Hombre</x:v>
      </x:c>
      <x:c r="D1119" t="str">
        <x:v>b) 5 a 9 años</x:v>
      </x:c>
      <x:c r="E1119" s="1" t="n">
        <x:v>12</x:v>
      </x:c>
    </x:row>
    <x:row r="1120">
      <x:c r="A1120" t="str">
        <x:v>MILPA ALTA</x:v>
      </x:c>
      <x:c r="B1120" t="str">
        <x:v>Zacazontlipac</x:v>
      </x:c>
      <x:c r="C1120" t="str">
        <x:v>Hombre</x:v>
      </x:c>
      <x:c r="D1120" t="str">
        <x:v>c) 10 a 14 años</x:v>
      </x:c>
      <x:c r="E1120" s="1" t="n">
        <x:v>15</x:v>
      </x:c>
    </x:row>
    <x:row r="1121">
      <x:c r="A1121" t="str">
        <x:v>MILPA ALTA</x:v>
      </x:c>
      <x:c r="B1121" t="str">
        <x:v>Zacazontlipac</x:v>
      </x:c>
      <x:c r="C1121" t="str">
        <x:v>Hombre</x:v>
      </x:c>
      <x:c r="D1121" t="str">
        <x:v>d) 15 a 19 años</x:v>
      </x:c>
      <x:c r="E1121" s="1" t="n">
        <x:v>14</x:v>
      </x:c>
    </x:row>
    <x:row r="1122">
      <x:c r="A1122" t="str">
        <x:v>MILPA ALTA</x:v>
      </x:c>
      <x:c r="B1122" t="str">
        <x:v>Zacazontlipac</x:v>
      </x:c>
      <x:c r="C1122" t="str">
        <x:v>Hombre</x:v>
      </x:c>
      <x:c r="D1122" t="str">
        <x:v>e) 20 a 24 años</x:v>
      </x:c>
      <x:c r="E1122" s="1" t="n">
        <x:v>15</x:v>
      </x:c>
    </x:row>
    <x:row r="1123">
      <x:c r="A1123" t="str">
        <x:v>MILPA ALTA</x:v>
      </x:c>
      <x:c r="B1123" t="str">
        <x:v>Zacazontlipac</x:v>
      </x:c>
      <x:c r="C1123" t="str">
        <x:v>Hombre</x:v>
      </x:c>
      <x:c r="D1123" t="str">
        <x:v>f) 25 a 29 años</x:v>
      </x:c>
      <x:c r="E1123" s="1" t="n">
        <x:v>15</x:v>
      </x:c>
    </x:row>
    <x:row r="1124">
      <x:c r="A1124" t="str">
        <x:v>MILPA ALTA</x:v>
      </x:c>
      <x:c r="B1124" t="str">
        <x:v>Zacazontlipac</x:v>
      </x:c>
      <x:c r="C1124" t="str">
        <x:v>Hombre</x:v>
      </x:c>
      <x:c r="D1124" t="str">
        <x:v>g) 30 a 34 años</x:v>
      </x:c>
      <x:c r="E1124" s="1" t="n">
        <x:v>24</x:v>
      </x:c>
    </x:row>
    <x:row r="1125">
      <x:c r="A1125" t="str">
        <x:v>MILPA ALTA</x:v>
      </x:c>
      <x:c r="B1125" t="str">
        <x:v>Zacazontlipac</x:v>
      </x:c>
      <x:c r="C1125" t="str">
        <x:v>Hombre</x:v>
      </x:c>
      <x:c r="D1125" t="str">
        <x:v>h) 35 a 39 años</x:v>
      </x:c>
      <x:c r="E1125" s="1" t="n">
        <x:v>10</x:v>
      </x:c>
    </x:row>
    <x:row r="1126">
      <x:c r="A1126" t="str">
        <x:v>MILPA ALTA</x:v>
      </x:c>
      <x:c r="B1126" t="str">
        <x:v>Zacazontlipac</x:v>
      </x:c>
      <x:c r="C1126" t="str">
        <x:v>Hombre</x:v>
      </x:c>
      <x:c r="D1126" t="str">
        <x:v>i) 40 a 44 años</x:v>
      </x:c>
      <x:c r="E1126" s="1" t="n">
        <x:v>20</x:v>
      </x:c>
    </x:row>
    <x:row r="1127">
      <x:c r="A1127" t="str">
        <x:v>MILPA ALTA</x:v>
      </x:c>
      <x:c r="B1127" t="str">
        <x:v>Zacazontlipac</x:v>
      </x:c>
      <x:c r="C1127" t="str">
        <x:v>Hombre</x:v>
      </x:c>
      <x:c r="D1127" t="str">
        <x:v>j) 45 a 49 años</x:v>
      </x:c>
      <x:c r="E1127" s="1" t="n">
        <x:v>17</x:v>
      </x:c>
    </x:row>
    <x:row r="1128">
      <x:c r="A1128" t="str">
        <x:v>MILPA ALTA</x:v>
      </x:c>
      <x:c r="B1128" t="str">
        <x:v>Zacazontlipac</x:v>
      </x:c>
      <x:c r="C1128" t="str">
        <x:v>Hombre</x:v>
      </x:c>
      <x:c r="D1128" t="str">
        <x:v>k) 50 a 54 años</x:v>
      </x:c>
      <x:c r="E1128" s="1" t="n">
        <x:v>10</x:v>
      </x:c>
    </x:row>
    <x:row r="1129">
      <x:c r="A1129" t="str">
        <x:v>MILPA ALTA</x:v>
      </x:c>
      <x:c r="B1129" t="str">
        <x:v>Zacazontlipac</x:v>
      </x:c>
      <x:c r="C1129" t="str">
        <x:v>Hombre</x:v>
      </x:c>
      <x:c r="D1129" t="str">
        <x:v>l) 55 a 59 años</x:v>
      </x:c>
      <x:c r="E1129" s="1" t="n">
        <x:v>2</x:v>
      </x:c>
    </x:row>
    <x:row r="1130">
      <x:c r="A1130" t="str">
        <x:v>MILPA ALTA</x:v>
      </x:c>
      <x:c r="B1130" t="str">
        <x:v>Zacazontlipac</x:v>
      </x:c>
      <x:c r="C1130" t="str">
        <x:v>Hombre</x:v>
      </x:c>
      <x:c r="D1130" t="str">
        <x:v>m) 60 a 64 años</x:v>
      </x:c>
      <x:c r="E1130" s="1" t="n">
        <x:v>6</x:v>
      </x:c>
    </x:row>
    <x:row r="1131">
      <x:c r="A1131" t="str">
        <x:v>MILPA ALTA</x:v>
      </x:c>
      <x:c r="B1131" t="str">
        <x:v>Zacazontlipac</x:v>
      </x:c>
      <x:c r="C1131" t="str">
        <x:v>Hombre</x:v>
      </x:c>
      <x:c r="D1131" t="str">
        <x:v>n) 65 a 69 años</x:v>
      </x:c>
      <x:c r="E1131" s="1" t="n">
        <x:v>3</x:v>
      </x:c>
    </x:row>
    <x:row r="1132">
      <x:c r="A1132" t="str">
        <x:v>MILPA ALTA</x:v>
      </x:c>
      <x:c r="B1132" t="str">
        <x:v>Zacazontlipac</x:v>
      </x:c>
      <x:c r="C1132" t="str">
        <x:v>Hombre</x:v>
      </x:c>
      <x:c r="D1132" t="str">
        <x:v>o) 70 a 74 años</x:v>
      </x:c>
      <x:c r="E1132" s="1" t="n">
        <x:v>5</x:v>
      </x:c>
    </x:row>
    <x:row r="1133">
      <x:c r="A1133" t="str">
        <x:v>MILPA ALTA</x:v>
      </x:c>
      <x:c r="B1133" t="str">
        <x:v>Zacazontlipac</x:v>
      </x:c>
      <x:c r="C1133" t="str">
        <x:v>Hombre</x:v>
      </x:c>
      <x:c r="D1133" t="str">
        <x:v>p) 75 a 79 años</x:v>
      </x:c>
      <x:c r="E1133" s="1" t="n">
        <x:v>1</x:v>
      </x:c>
    </x:row>
    <x:row r="1134">
      <x:c r="A1134" t="str">
        <x:v>MILPA ALTA</x:v>
      </x:c>
      <x:c r="B1134" t="str">
        <x:v>Zacazontlipac</x:v>
      </x:c>
      <x:c r="C1134" t="str">
        <x:v>Hombre</x:v>
      </x:c>
      <x:c r="D1134" t="str">
        <x:v>q) 80 a 84 años</x:v>
      </x:c>
      <x:c r="E1134" s="1" t="n">
        <x:v>0</x:v>
      </x:c>
    </x:row>
    <x:row r="1135">
      <x:c r="A1135" t="str">
        <x:v>MILPA ALTA</x:v>
      </x:c>
      <x:c r="B1135" t="str">
        <x:v>Zacazontlipac</x:v>
      </x:c>
      <x:c r="C1135" t="str">
        <x:v>Hombre</x:v>
      </x:c>
      <x:c r="D1135" t="str">
        <x:v>r) 85 años y más</x:v>
      </x:c>
      <x:c r="E1135" s="1" t="n">
        <x:v>1</x:v>
      </x:c>
    </x:row>
    <x:row r="1136">
      <x:c r="A1136" t="str">
        <x:v>MILPA ALTA</x:v>
      </x:c>
      <x:c r="B1136" t="str">
        <x:v>Zacazontlipac</x:v>
      </x:c>
      <x:c r="C1136" t="str">
        <x:v>Mujer</x:v>
      </x:c>
      <x:c r="D1136" t="str">
        <x:v>a) 0 a 4 años</x:v>
      </x:c>
      <x:c r="E1136" s="1" t="n">
        <x:v>11</x:v>
      </x:c>
    </x:row>
    <x:row r="1137">
      <x:c r="A1137" t="str">
        <x:v>MILPA ALTA</x:v>
      </x:c>
      <x:c r="B1137" t="str">
        <x:v>Zacazontlipac</x:v>
      </x:c>
      <x:c r="C1137" t="str">
        <x:v>Mujer</x:v>
      </x:c>
      <x:c r="D1137" t="str">
        <x:v>b) 5 a 9 años</x:v>
      </x:c>
      <x:c r="E1137" s="1" t="n">
        <x:v>10</x:v>
      </x:c>
    </x:row>
    <x:row r="1138">
      <x:c r="A1138" t="str">
        <x:v>MILPA ALTA</x:v>
      </x:c>
      <x:c r="B1138" t="str">
        <x:v>Zacazontlipac</x:v>
      </x:c>
      <x:c r="C1138" t="str">
        <x:v>Mujer</x:v>
      </x:c>
      <x:c r="D1138" t="str">
        <x:v>c) 10 a 14 años</x:v>
      </x:c>
      <x:c r="E1138" s="1" t="n">
        <x:v>14</x:v>
      </x:c>
    </x:row>
    <x:row r="1139">
      <x:c r="A1139" t="str">
        <x:v>MILPA ALTA</x:v>
      </x:c>
      <x:c r="B1139" t="str">
        <x:v>Zacazontlipac</x:v>
      </x:c>
      <x:c r="C1139" t="str">
        <x:v>Mujer</x:v>
      </x:c>
      <x:c r="D1139" t="str">
        <x:v>d) 15 a 19 años</x:v>
      </x:c>
      <x:c r="E1139" s="1" t="n">
        <x:v>14</x:v>
      </x:c>
    </x:row>
    <x:row r="1140">
      <x:c r="A1140" t="str">
        <x:v>MILPA ALTA</x:v>
      </x:c>
      <x:c r="B1140" t="str">
        <x:v>Zacazontlipac</x:v>
      </x:c>
      <x:c r="C1140" t="str">
        <x:v>Mujer</x:v>
      </x:c>
      <x:c r="D1140" t="str">
        <x:v>e) 20 a 24 años</x:v>
      </x:c>
      <x:c r="E1140" s="1" t="n">
        <x:v>23</x:v>
      </x:c>
    </x:row>
    <x:row r="1141">
      <x:c r="A1141" t="str">
        <x:v>MILPA ALTA</x:v>
      </x:c>
      <x:c r="B1141" t="str">
        <x:v>Zacazontlipac</x:v>
      </x:c>
      <x:c r="C1141" t="str">
        <x:v>Mujer</x:v>
      </x:c>
      <x:c r="D1141" t="str">
        <x:v>f) 25 a 29 años</x:v>
      </x:c>
      <x:c r="E1141" s="1" t="n">
        <x:v>14</x:v>
      </x:c>
    </x:row>
    <x:row r="1142">
      <x:c r="A1142" t="str">
        <x:v>MILPA ALTA</x:v>
      </x:c>
      <x:c r="B1142" t="str">
        <x:v>Zacazontlipac</x:v>
      </x:c>
      <x:c r="C1142" t="str">
        <x:v>Mujer</x:v>
      </x:c>
      <x:c r="D1142" t="str">
        <x:v>g) 30 a 34 años</x:v>
      </x:c>
      <x:c r="E1142" s="1" t="n">
        <x:v>18</x:v>
      </x:c>
    </x:row>
    <x:row r="1143">
      <x:c r="A1143" t="str">
        <x:v>MILPA ALTA</x:v>
      </x:c>
      <x:c r="B1143" t="str">
        <x:v>Zacazontlipac</x:v>
      </x:c>
      <x:c r="C1143" t="str">
        <x:v>Mujer</x:v>
      </x:c>
      <x:c r="D1143" t="str">
        <x:v>h) 35 a 39 años</x:v>
      </x:c>
      <x:c r="E1143" s="1" t="n">
        <x:v>16</x:v>
      </x:c>
    </x:row>
    <x:row r="1144">
      <x:c r="A1144" t="str">
        <x:v>MILPA ALTA</x:v>
      </x:c>
      <x:c r="B1144" t="str">
        <x:v>Zacazontlipac</x:v>
      </x:c>
      <x:c r="C1144" t="str">
        <x:v>Mujer</x:v>
      </x:c>
      <x:c r="D1144" t="str">
        <x:v>i) 40 a 44 años</x:v>
      </x:c>
      <x:c r="E1144" s="1" t="n">
        <x:v>17</x:v>
      </x:c>
    </x:row>
    <x:row r="1145">
      <x:c r="A1145" t="str">
        <x:v>MILPA ALTA</x:v>
      </x:c>
      <x:c r="B1145" t="str">
        <x:v>Zacazontlipac</x:v>
      </x:c>
      <x:c r="C1145" t="str">
        <x:v>Mujer</x:v>
      </x:c>
      <x:c r="D1145" t="str">
        <x:v>j) 45 a 49 años</x:v>
      </x:c>
      <x:c r="E1145" s="1" t="n">
        <x:v>14</x:v>
      </x:c>
    </x:row>
    <x:row r="1146">
      <x:c r="A1146" t="str">
        <x:v>MILPA ALTA</x:v>
      </x:c>
      <x:c r="B1146" t="str">
        <x:v>Zacazontlipac</x:v>
      </x:c>
      <x:c r="C1146" t="str">
        <x:v>Mujer</x:v>
      </x:c>
      <x:c r="D1146" t="str">
        <x:v>k) 50 a 54 años</x:v>
      </x:c>
      <x:c r="E1146" s="1" t="n">
        <x:v>6</x:v>
      </x:c>
    </x:row>
    <x:row r="1147">
      <x:c r="A1147" t="str">
        <x:v>MILPA ALTA</x:v>
      </x:c>
      <x:c r="B1147" t="str">
        <x:v>Zacazontlipac</x:v>
      </x:c>
      <x:c r="C1147" t="str">
        <x:v>Mujer</x:v>
      </x:c>
      <x:c r="D1147" t="str">
        <x:v>l) 55 a 59 años</x:v>
      </x:c>
      <x:c r="E1147" s="1" t="n">
        <x:v>6</x:v>
      </x:c>
    </x:row>
    <x:row r="1148">
      <x:c r="A1148" t="str">
        <x:v>MILPA ALTA</x:v>
      </x:c>
      <x:c r="B1148" t="str">
        <x:v>Zacazontlipac</x:v>
      </x:c>
      <x:c r="C1148" t="str">
        <x:v>Mujer</x:v>
      </x:c>
      <x:c r="D1148" t="str">
        <x:v>m) 60 a 64 años</x:v>
      </x:c>
      <x:c r="E1148" s="1" t="n">
        <x:v>5</x:v>
      </x:c>
    </x:row>
    <x:row r="1149">
      <x:c r="A1149" t="str">
        <x:v>MILPA ALTA</x:v>
      </x:c>
      <x:c r="B1149" t="str">
        <x:v>Zacazontlipac</x:v>
      </x:c>
      <x:c r="C1149" t="str">
        <x:v>Mujer</x:v>
      </x:c>
      <x:c r="D1149" t="str">
        <x:v>n) 65 a 69 años</x:v>
      </x:c>
      <x:c r="E1149" s="1" t="n">
        <x:v>7</x:v>
      </x:c>
    </x:row>
    <x:row r="1150">
      <x:c r="A1150" t="str">
        <x:v>MILPA ALTA</x:v>
      </x:c>
      <x:c r="B1150" t="str">
        <x:v>Zacazontlipac</x:v>
      </x:c>
      <x:c r="C1150" t="str">
        <x:v>Mujer</x:v>
      </x:c>
      <x:c r="D1150" t="str">
        <x:v>o) 70 a 74 años</x:v>
      </x:c>
      <x:c r="E1150" s="1" t="n">
        <x:v>1</x:v>
      </x:c>
    </x:row>
    <x:row r="1151">
      <x:c r="A1151" t="str">
        <x:v>MILPA ALTA</x:v>
      </x:c>
      <x:c r="B1151" t="str">
        <x:v>Zacazontlipac</x:v>
      </x:c>
      <x:c r="C1151" t="str">
        <x:v>Mujer</x:v>
      </x:c>
      <x:c r="D1151" t="str">
        <x:v>p) 75 a 79 años</x:v>
      </x:c>
      <x:c r="E1151" s="1" t="n">
        <x:v>5</x:v>
      </x:c>
    </x:row>
    <x:row r="1152">
      <x:c r="A1152" t="str">
        <x:v>MILPA ALTA</x:v>
      </x:c>
      <x:c r="B1152" t="str">
        <x:v>Zacazontlipac</x:v>
      </x:c>
      <x:c r="C1152" t="str">
        <x:v>Mujer</x:v>
      </x:c>
      <x:c r="D1152" t="str">
        <x:v>q) 80 a 84 años</x:v>
      </x:c>
      <x:c r="E1152" s="1" t="n">
        <x:v>0</x:v>
      </x:c>
    </x:row>
    <x:row r="1153">
      <x:c r="A1153" t="str">
        <x:v>MILPA ALTA</x:v>
      </x:c>
      <x:c r="B1153" t="str">
        <x:v>Zacazontlipac</x:v>
      </x:c>
      <x:c r="C1153" t="str">
        <x:v>Mujer</x:v>
      </x:c>
      <x:c r="D1153" t="str">
        <x:v>r) 85 años y más</x:v>
      </x:c>
      <x:c r="E1153" s="1" t="n">
        <x:v>0</x:v>
      </x:c>
    </x:row>
    <x:row r="1154">
      <x:c r="A1154" t="str">
        <x:v>MILPA ALTA</x:v>
      </x:c>
      <x:c r="B1154" t="str">
        <x:v>Santa Catarina (Piedra Blanca)</x:v>
      </x:c>
      <x:c r="C1154" t="str">
        <x:v>Hombre</x:v>
      </x:c>
      <x:c r="D1154" t="str">
        <x:v>a) 0 a 4 años</x:v>
      </x:c>
      <x:c r="E1154" s="1" t="n">
        <x:v>3</x:v>
      </x:c>
    </x:row>
    <x:row r="1155">
      <x:c r="A1155" t="str">
        <x:v>MILPA ALTA</x:v>
      </x:c>
      <x:c r="B1155" t="str">
        <x:v>Santa Catarina (Piedra Blanca)</x:v>
      </x:c>
      <x:c r="C1155" t="str">
        <x:v>Hombre</x:v>
      </x:c>
      <x:c r="D1155" t="str">
        <x:v>b) 5 a 9 años</x:v>
      </x:c>
      <x:c r="E1155" s="1" t="n">
        <x:v>5</x:v>
      </x:c>
    </x:row>
    <x:row r="1156">
      <x:c r="A1156" t="str">
        <x:v>MILPA ALTA</x:v>
      </x:c>
      <x:c r="B1156" t="str">
        <x:v>Santa Catarina (Piedra Blanca)</x:v>
      </x:c>
      <x:c r="C1156" t="str">
        <x:v>Hombre</x:v>
      </x:c>
      <x:c r="D1156" t="str">
        <x:v>c) 10 a 14 años</x:v>
      </x:c>
      <x:c r="E1156" s="1" t="n">
        <x:v>6</x:v>
      </x:c>
    </x:row>
    <x:row r="1157">
      <x:c r="A1157" t="str">
        <x:v>MILPA ALTA</x:v>
      </x:c>
      <x:c r="B1157" t="str">
        <x:v>Santa Catarina (Piedra Blanca)</x:v>
      </x:c>
      <x:c r="C1157" t="str">
        <x:v>Hombre</x:v>
      </x:c>
      <x:c r="D1157" t="str">
        <x:v>d) 15 a 19 años</x:v>
      </x:c>
      <x:c r="E1157" s="1" t="n">
        <x:v>12</x:v>
      </x:c>
    </x:row>
    <x:row r="1158">
      <x:c r="A1158" t="str">
        <x:v>MILPA ALTA</x:v>
      </x:c>
      <x:c r="B1158" t="str">
        <x:v>Santa Catarina (Piedra Blanca)</x:v>
      </x:c>
      <x:c r="C1158" t="str">
        <x:v>Hombre</x:v>
      </x:c>
      <x:c r="D1158" t="str">
        <x:v>e) 20 a 24 años</x:v>
      </x:c>
      <x:c r="E1158" s="1" t="n">
        <x:v>6</x:v>
      </x:c>
    </x:row>
    <x:row r="1159">
      <x:c r="A1159" t="str">
        <x:v>MILPA ALTA</x:v>
      </x:c>
      <x:c r="B1159" t="str">
        <x:v>Santa Catarina (Piedra Blanca)</x:v>
      </x:c>
      <x:c r="C1159" t="str">
        <x:v>Hombre</x:v>
      </x:c>
      <x:c r="D1159" t="str">
        <x:v>f) 25 a 29 años</x:v>
      </x:c>
      <x:c r="E1159" s="1" t="n">
        <x:v>8</x:v>
      </x:c>
    </x:row>
    <x:row r="1160">
      <x:c r="A1160" t="str">
        <x:v>MILPA ALTA</x:v>
      </x:c>
      <x:c r="B1160" t="str">
        <x:v>Santa Catarina (Piedra Blanca)</x:v>
      </x:c>
      <x:c r="C1160" t="str">
        <x:v>Hombre</x:v>
      </x:c>
      <x:c r="D1160" t="str">
        <x:v>g) 30 a 34 años</x:v>
      </x:c>
      <x:c r="E1160" s="1" t="n">
        <x:v>8</x:v>
      </x:c>
    </x:row>
    <x:row r="1161">
      <x:c r="A1161" t="str">
        <x:v>MILPA ALTA</x:v>
      </x:c>
      <x:c r="B1161" t="str">
        <x:v>Santa Catarina (Piedra Blanca)</x:v>
      </x:c>
      <x:c r="C1161" t="str">
        <x:v>Hombre</x:v>
      </x:c>
      <x:c r="D1161" t="str">
        <x:v>h) 35 a 39 años</x:v>
      </x:c>
      <x:c r="E1161" s="1" t="n">
        <x:v>7</x:v>
      </x:c>
    </x:row>
    <x:row r="1162">
      <x:c r="A1162" t="str">
        <x:v>MILPA ALTA</x:v>
      </x:c>
      <x:c r="B1162" t="str">
        <x:v>Santa Catarina (Piedra Blanca)</x:v>
      </x:c>
      <x:c r="C1162" t="str">
        <x:v>Hombre</x:v>
      </x:c>
      <x:c r="D1162" t="str">
        <x:v>i) 40 a 44 años</x:v>
      </x:c>
      <x:c r="E1162" s="1" t="n">
        <x:v>3</x:v>
      </x:c>
    </x:row>
    <x:row r="1163">
      <x:c r="A1163" t="str">
        <x:v>MILPA ALTA</x:v>
      </x:c>
      <x:c r="B1163" t="str">
        <x:v>Santa Catarina (Piedra Blanca)</x:v>
      </x:c>
      <x:c r="C1163" t="str">
        <x:v>Hombre</x:v>
      </x:c>
      <x:c r="D1163" t="str">
        <x:v>j) 45 a 49 años</x:v>
      </x:c>
      <x:c r="E1163" s="1" t="n">
        <x:v>6</x:v>
      </x:c>
    </x:row>
    <x:row r="1164">
      <x:c r="A1164" t="str">
        <x:v>MILPA ALTA</x:v>
      </x:c>
      <x:c r="B1164" t="str">
        <x:v>Santa Catarina (Piedra Blanca)</x:v>
      </x:c>
      <x:c r="C1164" t="str">
        <x:v>Hombre</x:v>
      </x:c>
      <x:c r="D1164" t="str">
        <x:v>k) 50 a 54 años</x:v>
      </x:c>
      <x:c r="E1164" s="1" t="n">
        <x:v>3</x:v>
      </x:c>
    </x:row>
    <x:row r="1165">
      <x:c r="A1165" t="str">
        <x:v>MILPA ALTA</x:v>
      </x:c>
      <x:c r="B1165" t="str">
        <x:v>Santa Catarina (Piedra Blanca)</x:v>
      </x:c>
      <x:c r="C1165" t="str">
        <x:v>Hombre</x:v>
      </x:c>
      <x:c r="D1165" t="str">
        <x:v>l) 55 a 59 años</x:v>
      </x:c>
      <x:c r="E1165" s="1" t="n">
        <x:v>6</x:v>
      </x:c>
    </x:row>
    <x:row r="1166">
      <x:c r="A1166" t="str">
        <x:v>MILPA ALTA</x:v>
      </x:c>
      <x:c r="B1166" t="str">
        <x:v>Santa Catarina (Piedra Blanca)</x:v>
      </x:c>
      <x:c r="C1166" t="str">
        <x:v>Hombre</x:v>
      </x:c>
      <x:c r="D1166" t="str">
        <x:v>m) 60 a 64 años</x:v>
      </x:c>
      <x:c r="E1166" s="1" t="n">
        <x:v>7</x:v>
      </x:c>
    </x:row>
    <x:row r="1167">
      <x:c r="A1167" t="str">
        <x:v>MILPA ALTA</x:v>
      </x:c>
      <x:c r="B1167" t="str">
        <x:v>Santa Catarina (Piedra Blanca)</x:v>
      </x:c>
      <x:c r="C1167" t="str">
        <x:v>Hombre</x:v>
      </x:c>
      <x:c r="D1167" t="str">
        <x:v>n) 65 a 69 años</x:v>
      </x:c>
      <x:c r="E1167" s="1" t="n">
        <x:v>4</x:v>
      </x:c>
    </x:row>
    <x:row r="1168">
      <x:c r="A1168" t="str">
        <x:v>MILPA ALTA</x:v>
      </x:c>
      <x:c r="B1168" t="str">
        <x:v>Santa Catarina (Piedra Blanca)</x:v>
      </x:c>
      <x:c r="C1168" t="str">
        <x:v>Hombre</x:v>
      </x:c>
      <x:c r="D1168" t="str">
        <x:v>o) 70 a 74 años</x:v>
      </x:c>
      <x:c r="E1168" s="1" t="n">
        <x:v>4</x:v>
      </x:c>
    </x:row>
    <x:row r="1169">
      <x:c r="A1169" t="str">
        <x:v>MILPA ALTA</x:v>
      </x:c>
      <x:c r="B1169" t="str">
        <x:v>Santa Catarina (Piedra Blanca)</x:v>
      </x:c>
      <x:c r="C1169" t="str">
        <x:v>Hombre</x:v>
      </x:c>
      <x:c r="D1169" t="str">
        <x:v>p) 75 a 79 años</x:v>
      </x:c>
      <x:c r="E1169" s="1" t="n">
        <x:v>0</x:v>
      </x:c>
    </x:row>
    <x:row r="1170">
      <x:c r="A1170" t="str">
        <x:v>MILPA ALTA</x:v>
      </x:c>
      <x:c r="B1170" t="str">
        <x:v>Santa Catarina (Piedra Blanca)</x:v>
      </x:c>
      <x:c r="C1170" t="str">
        <x:v>Hombre</x:v>
      </x:c>
      <x:c r="D1170" t="str">
        <x:v>q) 80 a 84 años</x:v>
      </x:c>
      <x:c r="E1170" s="1" t="n">
        <x:v>0</x:v>
      </x:c>
    </x:row>
    <x:row r="1171">
      <x:c r="A1171" t="str">
        <x:v>MILPA ALTA</x:v>
      </x:c>
      <x:c r="B1171" t="str">
        <x:v>Santa Catarina (Piedra Blanca)</x:v>
      </x:c>
      <x:c r="C1171" t="str">
        <x:v>Hombre</x:v>
      </x:c>
      <x:c r="D1171" t="str">
        <x:v>r) 85 años y más</x:v>
      </x:c>
      <x:c r="E1171" s="1" t="n">
        <x:v>2</x:v>
      </x:c>
    </x:row>
    <x:row r="1172">
      <x:c r="A1172" t="str">
        <x:v>MILPA ALTA</x:v>
      </x:c>
      <x:c r="B1172" t="str">
        <x:v>Santa Catarina (Piedra Blanca)</x:v>
      </x:c>
      <x:c r="C1172" t="str">
        <x:v>Mujer</x:v>
      </x:c>
      <x:c r="D1172" t="str">
        <x:v>a) 0 a 4 años</x:v>
      </x:c>
      <x:c r="E1172" s="1" t="n">
        <x:v>1</x:v>
      </x:c>
    </x:row>
    <x:row r="1173">
      <x:c r="A1173" t="str">
        <x:v>MILPA ALTA</x:v>
      </x:c>
      <x:c r="B1173" t="str">
        <x:v>Santa Catarina (Piedra Blanca)</x:v>
      </x:c>
      <x:c r="C1173" t="str">
        <x:v>Mujer</x:v>
      </x:c>
      <x:c r="D1173" t="str">
        <x:v>b) 5 a 9 años</x:v>
      </x:c>
      <x:c r="E1173" s="1" t="n">
        <x:v>6</x:v>
      </x:c>
    </x:row>
    <x:row r="1174">
      <x:c r="A1174" t="str">
        <x:v>MILPA ALTA</x:v>
      </x:c>
      <x:c r="B1174" t="str">
        <x:v>Santa Catarina (Piedra Blanca)</x:v>
      </x:c>
      <x:c r="C1174" t="str">
        <x:v>Mujer</x:v>
      </x:c>
      <x:c r="D1174" t="str">
        <x:v>c) 10 a 14 años</x:v>
      </x:c>
      <x:c r="E1174" s="1" t="n">
        <x:v>7</x:v>
      </x:c>
    </x:row>
    <x:row r="1175">
      <x:c r="A1175" t="str">
        <x:v>MILPA ALTA</x:v>
      </x:c>
      <x:c r="B1175" t="str">
        <x:v>Santa Catarina (Piedra Blanca)</x:v>
      </x:c>
      <x:c r="C1175" t="str">
        <x:v>Mujer</x:v>
      </x:c>
      <x:c r="D1175" t="str">
        <x:v>d) 15 a 19 años</x:v>
      </x:c>
      <x:c r="E1175" s="1" t="n">
        <x:v>5</x:v>
      </x:c>
    </x:row>
    <x:row r="1176">
      <x:c r="A1176" t="str">
        <x:v>MILPA ALTA</x:v>
      </x:c>
      <x:c r="B1176" t="str">
        <x:v>Santa Catarina (Piedra Blanca)</x:v>
      </x:c>
      <x:c r="C1176" t="str">
        <x:v>Mujer</x:v>
      </x:c>
      <x:c r="D1176" t="str">
        <x:v>e) 20 a 24 años</x:v>
      </x:c>
      <x:c r="E1176" s="1" t="n">
        <x:v>8</x:v>
      </x:c>
    </x:row>
    <x:row r="1177">
      <x:c r="A1177" t="str">
        <x:v>MILPA ALTA</x:v>
      </x:c>
      <x:c r="B1177" t="str">
        <x:v>Santa Catarina (Piedra Blanca)</x:v>
      </x:c>
      <x:c r="C1177" t="str">
        <x:v>Mujer</x:v>
      </x:c>
      <x:c r="D1177" t="str">
        <x:v>f) 25 a 29 años</x:v>
      </x:c>
      <x:c r="E1177" s="1" t="n">
        <x:v>6</x:v>
      </x:c>
    </x:row>
    <x:row r="1178">
      <x:c r="A1178" t="str">
        <x:v>MILPA ALTA</x:v>
      </x:c>
      <x:c r="B1178" t="str">
        <x:v>Santa Catarina (Piedra Blanca)</x:v>
      </x:c>
      <x:c r="C1178" t="str">
        <x:v>Mujer</x:v>
      </x:c>
      <x:c r="D1178" t="str">
        <x:v>g) 30 a 34 años</x:v>
      </x:c>
      <x:c r="E1178" s="1" t="n">
        <x:v>6</x:v>
      </x:c>
    </x:row>
    <x:row r="1179">
      <x:c r="A1179" t="str">
        <x:v>MILPA ALTA</x:v>
      </x:c>
      <x:c r="B1179" t="str">
        <x:v>Santa Catarina (Piedra Blanca)</x:v>
      </x:c>
      <x:c r="C1179" t="str">
        <x:v>Mujer</x:v>
      </x:c>
      <x:c r="D1179" t="str">
        <x:v>h) 35 a 39 años</x:v>
      </x:c>
      <x:c r="E1179" s="1" t="n">
        <x:v>6</x:v>
      </x:c>
    </x:row>
    <x:row r="1180">
      <x:c r="A1180" t="str">
        <x:v>MILPA ALTA</x:v>
      </x:c>
      <x:c r="B1180" t="str">
        <x:v>Santa Catarina (Piedra Blanca)</x:v>
      </x:c>
      <x:c r="C1180" t="str">
        <x:v>Mujer</x:v>
      </x:c>
      <x:c r="D1180" t="str">
        <x:v>i) 40 a 44 años</x:v>
      </x:c>
      <x:c r="E1180" s="1" t="n">
        <x:v>7</x:v>
      </x:c>
    </x:row>
    <x:row r="1181">
      <x:c r="A1181" t="str">
        <x:v>MILPA ALTA</x:v>
      </x:c>
      <x:c r="B1181" t="str">
        <x:v>Santa Catarina (Piedra Blanca)</x:v>
      </x:c>
      <x:c r="C1181" t="str">
        <x:v>Mujer</x:v>
      </x:c>
      <x:c r="D1181" t="str">
        <x:v>j) 45 a 49 años</x:v>
      </x:c>
      <x:c r="E1181" s="1" t="n">
        <x:v>11</x:v>
      </x:c>
    </x:row>
    <x:row r="1182">
      <x:c r="A1182" t="str">
        <x:v>MILPA ALTA</x:v>
      </x:c>
      <x:c r="B1182" t="str">
        <x:v>Santa Catarina (Piedra Blanca)</x:v>
      </x:c>
      <x:c r="C1182" t="str">
        <x:v>Mujer</x:v>
      </x:c>
      <x:c r="D1182" t="str">
        <x:v>k) 50 a 54 años</x:v>
      </x:c>
      <x:c r="E1182" s="1" t="n">
        <x:v>3</x:v>
      </x:c>
    </x:row>
    <x:row r="1183">
      <x:c r="A1183" t="str">
        <x:v>MILPA ALTA</x:v>
      </x:c>
      <x:c r="B1183" t="str">
        <x:v>Santa Catarina (Piedra Blanca)</x:v>
      </x:c>
      <x:c r="C1183" t="str">
        <x:v>Mujer</x:v>
      </x:c>
      <x:c r="D1183" t="str">
        <x:v>l) 55 a 59 años</x:v>
      </x:c>
      <x:c r="E1183" s="1" t="n">
        <x:v>9</x:v>
      </x:c>
    </x:row>
    <x:row r="1184">
      <x:c r="A1184" t="str">
        <x:v>MILPA ALTA</x:v>
      </x:c>
      <x:c r="B1184" t="str">
        <x:v>Santa Catarina (Piedra Blanca)</x:v>
      </x:c>
      <x:c r="C1184" t="str">
        <x:v>Mujer</x:v>
      </x:c>
      <x:c r="D1184" t="str">
        <x:v>m) 60 a 64 años</x:v>
      </x:c>
      <x:c r="E1184" s="1" t="n">
        <x:v>4</x:v>
      </x:c>
    </x:row>
    <x:row r="1185">
      <x:c r="A1185" t="str">
        <x:v>MILPA ALTA</x:v>
      </x:c>
      <x:c r="B1185" t="str">
        <x:v>Santa Catarina (Piedra Blanca)</x:v>
      </x:c>
      <x:c r="C1185" t="str">
        <x:v>Mujer</x:v>
      </x:c>
      <x:c r="D1185" t="str">
        <x:v>n) 65 a 69 años</x:v>
      </x:c>
      <x:c r="E1185" s="1" t="n">
        <x:v>4</x:v>
      </x:c>
    </x:row>
    <x:row r="1186">
      <x:c r="A1186" t="str">
        <x:v>MILPA ALTA</x:v>
      </x:c>
      <x:c r="B1186" t="str">
        <x:v>Santa Catarina (Piedra Blanca)</x:v>
      </x:c>
      <x:c r="C1186" t="str">
        <x:v>Mujer</x:v>
      </x:c>
      <x:c r="D1186" t="str">
        <x:v>o) 70 a 74 años</x:v>
      </x:c>
      <x:c r="E1186" s="1" t="n">
        <x:v>2</x:v>
      </x:c>
    </x:row>
    <x:row r="1187">
      <x:c r="A1187" t="str">
        <x:v>MILPA ALTA</x:v>
      </x:c>
      <x:c r="B1187" t="str">
        <x:v>Santa Catarina (Piedra Blanca)</x:v>
      </x:c>
      <x:c r="C1187" t="str">
        <x:v>Mujer</x:v>
      </x:c>
      <x:c r="D1187" t="str">
        <x:v>p) 75 a 79 años</x:v>
      </x:c>
      <x:c r="E1187" s="1" t="n">
        <x:v>0</x:v>
      </x:c>
    </x:row>
    <x:row r="1188">
      <x:c r="A1188" t="str">
        <x:v>MILPA ALTA</x:v>
      </x:c>
      <x:c r="B1188" t="str">
        <x:v>Santa Catarina (Piedra Blanca)</x:v>
      </x:c>
      <x:c r="C1188" t="str">
        <x:v>Mujer</x:v>
      </x:c>
      <x:c r="D1188" t="str">
        <x:v>q) 80 a 84 años</x:v>
      </x:c>
      <x:c r="E1188" s="1" t="n">
        <x:v>2</x:v>
      </x:c>
    </x:row>
    <x:row r="1189">
      <x:c r="A1189" t="str">
        <x:v>MILPA ALTA</x:v>
      </x:c>
      <x:c r="B1189" t="str">
        <x:v>Santa Catarina (Piedra Blanca)</x:v>
      </x:c>
      <x:c r="C1189" t="str">
        <x:v>Mujer</x:v>
      </x:c>
      <x:c r="D1189" t="str">
        <x:v>r) 85 años y más</x:v>
      </x:c>
      <x:c r="E1189" s="1" t="n">
        <x:v>0</x:v>
      </x:c>
    </x:row>
    <x:row r="1190">
      <x:c r="A1190" t="str">
        <x:v>MILPA ALTA</x:v>
      </x:c>
      <x:c r="B1190" t="str">
        <x:v>Cuauhtetec</x:v>
      </x:c>
      <x:c r="C1190" t="str">
        <x:v>Hombre</x:v>
      </x:c>
      <x:c r="D1190" t="str">
        <x:v>a) 0 a 4 años</x:v>
      </x:c>
      <x:c r="E1190" s="1" t="n">
        <x:v>9</x:v>
      </x:c>
    </x:row>
    <x:row r="1191">
      <x:c r="A1191" t="str">
        <x:v>MILPA ALTA</x:v>
      </x:c>
      <x:c r="B1191" t="str">
        <x:v>Cuauhtetec</x:v>
      </x:c>
      <x:c r="C1191" t="str">
        <x:v>Hombre</x:v>
      </x:c>
      <x:c r="D1191" t="str">
        <x:v>b) 5 a 9 años</x:v>
      </x:c>
      <x:c r="E1191" s="1" t="n">
        <x:v>11</x:v>
      </x:c>
    </x:row>
    <x:row r="1192">
      <x:c r="A1192" t="str">
        <x:v>MILPA ALTA</x:v>
      </x:c>
      <x:c r="B1192" t="str">
        <x:v>Cuauhtetec</x:v>
      </x:c>
      <x:c r="C1192" t="str">
        <x:v>Hombre</x:v>
      </x:c>
      <x:c r="D1192" t="str">
        <x:v>c) 10 a 14 años</x:v>
      </x:c>
      <x:c r="E1192" s="1" t="n">
        <x:v>14</x:v>
      </x:c>
    </x:row>
    <x:row r="1193">
      <x:c r="A1193" t="str">
        <x:v>MILPA ALTA</x:v>
      </x:c>
      <x:c r="B1193" t="str">
        <x:v>Cuauhtetec</x:v>
      </x:c>
      <x:c r="C1193" t="str">
        <x:v>Hombre</x:v>
      </x:c>
      <x:c r="D1193" t="str">
        <x:v>d) 15 a 19 años</x:v>
      </x:c>
      <x:c r="E1193" s="1" t="n">
        <x:v>11</x:v>
      </x:c>
    </x:row>
    <x:row r="1194">
      <x:c r="A1194" t="str">
        <x:v>MILPA ALTA</x:v>
      </x:c>
      <x:c r="B1194" t="str">
        <x:v>Cuauhtetec</x:v>
      </x:c>
      <x:c r="C1194" t="str">
        <x:v>Hombre</x:v>
      </x:c>
      <x:c r="D1194" t="str">
        <x:v>e) 20 a 24 años</x:v>
      </x:c>
      <x:c r="E1194" s="1" t="n">
        <x:v>20</x:v>
      </x:c>
    </x:row>
    <x:row r="1195">
      <x:c r="A1195" t="str">
        <x:v>MILPA ALTA</x:v>
      </x:c>
      <x:c r="B1195" t="str">
        <x:v>Cuauhtetec</x:v>
      </x:c>
      <x:c r="C1195" t="str">
        <x:v>Hombre</x:v>
      </x:c>
      <x:c r="D1195" t="str">
        <x:v>f) 25 a 29 años</x:v>
      </x:c>
      <x:c r="E1195" s="1" t="n">
        <x:v>10</x:v>
      </x:c>
    </x:row>
    <x:row r="1196">
      <x:c r="A1196" t="str">
        <x:v>MILPA ALTA</x:v>
      </x:c>
      <x:c r="B1196" t="str">
        <x:v>Cuauhtetec</x:v>
      </x:c>
      <x:c r="C1196" t="str">
        <x:v>Hombre</x:v>
      </x:c>
      <x:c r="D1196" t="str">
        <x:v>g) 30 a 34 años</x:v>
      </x:c>
      <x:c r="E1196" s="1" t="n">
        <x:v>13</x:v>
      </x:c>
    </x:row>
    <x:row r="1197">
      <x:c r="A1197" t="str">
        <x:v>MILPA ALTA</x:v>
      </x:c>
      <x:c r="B1197" t="str">
        <x:v>Cuauhtetec</x:v>
      </x:c>
      <x:c r="C1197" t="str">
        <x:v>Hombre</x:v>
      </x:c>
      <x:c r="D1197" t="str">
        <x:v>h) 35 a 39 años</x:v>
      </x:c>
      <x:c r="E1197" s="1" t="n">
        <x:v>11</x:v>
      </x:c>
    </x:row>
    <x:row r="1198">
      <x:c r="A1198" t="str">
        <x:v>MILPA ALTA</x:v>
      </x:c>
      <x:c r="B1198" t="str">
        <x:v>Cuauhtetec</x:v>
      </x:c>
      <x:c r="C1198" t="str">
        <x:v>Hombre</x:v>
      </x:c>
      <x:c r="D1198" t="str">
        <x:v>i) 40 a 44 años</x:v>
      </x:c>
      <x:c r="E1198" s="1" t="n">
        <x:v>12</x:v>
      </x:c>
    </x:row>
    <x:row r="1199">
      <x:c r="A1199" t="str">
        <x:v>MILPA ALTA</x:v>
      </x:c>
      <x:c r="B1199" t="str">
        <x:v>Cuauhtetec</x:v>
      </x:c>
      <x:c r="C1199" t="str">
        <x:v>Hombre</x:v>
      </x:c>
      <x:c r="D1199" t="str">
        <x:v>j) 45 a 49 años</x:v>
      </x:c>
      <x:c r="E1199" s="1" t="n">
        <x:v>7</x:v>
      </x:c>
    </x:row>
    <x:row r="1200">
      <x:c r="A1200" t="str">
        <x:v>MILPA ALTA</x:v>
      </x:c>
      <x:c r="B1200" t="str">
        <x:v>Cuauhtetec</x:v>
      </x:c>
      <x:c r="C1200" t="str">
        <x:v>Hombre</x:v>
      </x:c>
      <x:c r="D1200" t="str">
        <x:v>k) 50 a 54 años</x:v>
      </x:c>
      <x:c r="E1200" s="1" t="n">
        <x:v>3</x:v>
      </x:c>
    </x:row>
    <x:row r="1201">
      <x:c r="A1201" t="str">
        <x:v>MILPA ALTA</x:v>
      </x:c>
      <x:c r="B1201" t="str">
        <x:v>Cuauhtetec</x:v>
      </x:c>
      <x:c r="C1201" t="str">
        <x:v>Hombre</x:v>
      </x:c>
      <x:c r="D1201" t="str">
        <x:v>l) 55 a 59 años</x:v>
      </x:c>
      <x:c r="E1201" s="1" t="n">
        <x:v>7</x:v>
      </x:c>
    </x:row>
    <x:row r="1202">
      <x:c r="A1202" t="str">
        <x:v>MILPA ALTA</x:v>
      </x:c>
      <x:c r="B1202" t="str">
        <x:v>Cuauhtetec</x:v>
      </x:c>
      <x:c r="C1202" t="str">
        <x:v>Hombre</x:v>
      </x:c>
      <x:c r="D1202" t="str">
        <x:v>m) 60 a 64 años</x:v>
      </x:c>
      <x:c r="E1202" s="1" t="n">
        <x:v>2</x:v>
      </x:c>
    </x:row>
    <x:row r="1203">
      <x:c r="A1203" t="str">
        <x:v>MILPA ALTA</x:v>
      </x:c>
      <x:c r="B1203" t="str">
        <x:v>Cuauhtetec</x:v>
      </x:c>
      <x:c r="C1203" t="str">
        <x:v>Hombre</x:v>
      </x:c>
      <x:c r="D1203" t="str">
        <x:v>n) 65 a 69 años</x:v>
      </x:c>
      <x:c r="E1203" s="1" t="n">
        <x:v>4</x:v>
      </x:c>
    </x:row>
    <x:row r="1204">
      <x:c r="A1204" t="str">
        <x:v>MILPA ALTA</x:v>
      </x:c>
      <x:c r="B1204" t="str">
        <x:v>Cuauhtetec</x:v>
      </x:c>
      <x:c r="C1204" t="str">
        <x:v>Hombre</x:v>
      </x:c>
      <x:c r="D1204" t="str">
        <x:v>o) 70 a 74 años</x:v>
      </x:c>
      <x:c r="E1204" s="1" t="n">
        <x:v>1</x:v>
      </x:c>
    </x:row>
    <x:row r="1205">
      <x:c r="A1205" t="str">
        <x:v>MILPA ALTA</x:v>
      </x:c>
      <x:c r="B1205" t="str">
        <x:v>Cuauhtetec</x:v>
      </x:c>
      <x:c r="C1205" t="str">
        <x:v>Hombre</x:v>
      </x:c>
      <x:c r="D1205" t="str">
        <x:v>p) 75 a 79 años</x:v>
      </x:c>
      <x:c r="E1205" s="1" t="n">
        <x:v>0</x:v>
      </x:c>
    </x:row>
    <x:row r="1206">
      <x:c r="A1206" t="str">
        <x:v>MILPA ALTA</x:v>
      </x:c>
      <x:c r="B1206" t="str">
        <x:v>Cuauhtetec</x:v>
      </x:c>
      <x:c r="C1206" t="str">
        <x:v>Hombre</x:v>
      </x:c>
      <x:c r="D1206" t="str">
        <x:v>q) 80 a 84 años</x:v>
      </x:c>
      <x:c r="E1206" s="1" t="n">
        <x:v>1</x:v>
      </x:c>
    </x:row>
    <x:row r="1207">
      <x:c r="A1207" t="str">
        <x:v>MILPA ALTA</x:v>
      </x:c>
      <x:c r="B1207" t="str">
        <x:v>Cuauhtetec</x:v>
      </x:c>
      <x:c r="C1207" t="str">
        <x:v>Hombre</x:v>
      </x:c>
      <x:c r="D1207" t="str">
        <x:v>r) 85 años y más</x:v>
      </x:c>
      <x:c r="E1207" s="1" t="n">
        <x:v>0</x:v>
      </x:c>
    </x:row>
    <x:row r="1208">
      <x:c r="A1208" t="str">
        <x:v>MILPA ALTA</x:v>
      </x:c>
      <x:c r="B1208" t="str">
        <x:v>Cuauhtetec</x:v>
      </x:c>
      <x:c r="C1208" t="str">
        <x:v>Mujer</x:v>
      </x:c>
      <x:c r="D1208" t="str">
        <x:v>a) 0 a 4 años</x:v>
      </x:c>
      <x:c r="E1208" s="1" t="n">
        <x:v>7</x:v>
      </x:c>
    </x:row>
    <x:row r="1209">
      <x:c r="A1209" t="str">
        <x:v>MILPA ALTA</x:v>
      </x:c>
      <x:c r="B1209" t="str">
        <x:v>Cuauhtetec</x:v>
      </x:c>
      <x:c r="C1209" t="str">
        <x:v>Mujer</x:v>
      </x:c>
      <x:c r="D1209" t="str">
        <x:v>b) 5 a 9 años</x:v>
      </x:c>
      <x:c r="E1209" s="1" t="n">
        <x:v>14</x:v>
      </x:c>
    </x:row>
    <x:row r="1210">
      <x:c r="A1210" t="str">
        <x:v>MILPA ALTA</x:v>
      </x:c>
      <x:c r="B1210" t="str">
        <x:v>Cuauhtetec</x:v>
      </x:c>
      <x:c r="C1210" t="str">
        <x:v>Mujer</x:v>
      </x:c>
      <x:c r="D1210" t="str">
        <x:v>c) 10 a 14 años</x:v>
      </x:c>
      <x:c r="E1210" s="1" t="n">
        <x:v>14</x:v>
      </x:c>
    </x:row>
    <x:row r="1211">
      <x:c r="A1211" t="str">
        <x:v>MILPA ALTA</x:v>
      </x:c>
      <x:c r="B1211" t="str">
        <x:v>Cuauhtetec</x:v>
      </x:c>
      <x:c r="C1211" t="str">
        <x:v>Mujer</x:v>
      </x:c>
      <x:c r="D1211" t="str">
        <x:v>d) 15 a 19 años</x:v>
      </x:c>
      <x:c r="E1211" s="1" t="n">
        <x:v>10</x:v>
      </x:c>
    </x:row>
    <x:row r="1212">
      <x:c r="A1212" t="str">
        <x:v>MILPA ALTA</x:v>
      </x:c>
      <x:c r="B1212" t="str">
        <x:v>Cuauhtetec</x:v>
      </x:c>
      <x:c r="C1212" t="str">
        <x:v>Mujer</x:v>
      </x:c>
      <x:c r="D1212" t="str">
        <x:v>e) 20 a 24 años</x:v>
      </x:c>
      <x:c r="E1212" s="1" t="n">
        <x:v>14</x:v>
      </x:c>
    </x:row>
    <x:row r="1213">
      <x:c r="A1213" t="str">
        <x:v>MILPA ALTA</x:v>
      </x:c>
      <x:c r="B1213" t="str">
        <x:v>Cuauhtetec</x:v>
      </x:c>
      <x:c r="C1213" t="str">
        <x:v>Mujer</x:v>
      </x:c>
      <x:c r="D1213" t="str">
        <x:v>f) 25 a 29 años</x:v>
      </x:c>
      <x:c r="E1213" s="1" t="n">
        <x:v>9</x:v>
      </x:c>
    </x:row>
    <x:row r="1214">
      <x:c r="A1214" t="str">
        <x:v>MILPA ALTA</x:v>
      </x:c>
      <x:c r="B1214" t="str">
        <x:v>Cuauhtetec</x:v>
      </x:c>
      <x:c r="C1214" t="str">
        <x:v>Mujer</x:v>
      </x:c>
      <x:c r="D1214" t="str">
        <x:v>g) 30 a 34 años</x:v>
      </x:c>
      <x:c r="E1214" s="1" t="n">
        <x:v>16</x:v>
      </x:c>
    </x:row>
    <x:row r="1215">
      <x:c r="A1215" t="str">
        <x:v>MILPA ALTA</x:v>
      </x:c>
      <x:c r="B1215" t="str">
        <x:v>Cuauhtetec</x:v>
      </x:c>
      <x:c r="C1215" t="str">
        <x:v>Mujer</x:v>
      </x:c>
      <x:c r="D1215" t="str">
        <x:v>h) 35 a 39 años</x:v>
      </x:c>
      <x:c r="E1215" s="1" t="n">
        <x:v>9</x:v>
      </x:c>
    </x:row>
    <x:row r="1216">
      <x:c r="A1216" t="str">
        <x:v>MILPA ALTA</x:v>
      </x:c>
      <x:c r="B1216" t="str">
        <x:v>Cuauhtetec</x:v>
      </x:c>
      <x:c r="C1216" t="str">
        <x:v>Mujer</x:v>
      </x:c>
      <x:c r="D1216" t="str">
        <x:v>i) 40 a 44 años</x:v>
      </x:c>
      <x:c r="E1216" s="1" t="n">
        <x:v>13</x:v>
      </x:c>
    </x:row>
    <x:row r="1217">
      <x:c r="A1217" t="str">
        <x:v>MILPA ALTA</x:v>
      </x:c>
      <x:c r="B1217" t="str">
        <x:v>Cuauhtetec</x:v>
      </x:c>
      <x:c r="C1217" t="str">
        <x:v>Mujer</x:v>
      </x:c>
      <x:c r="D1217" t="str">
        <x:v>j) 45 a 49 años</x:v>
      </x:c>
      <x:c r="E1217" s="1" t="n">
        <x:v>5</x:v>
      </x:c>
    </x:row>
    <x:row r="1218">
      <x:c r="A1218" t="str">
        <x:v>MILPA ALTA</x:v>
      </x:c>
      <x:c r="B1218" t="str">
        <x:v>Cuauhtetec</x:v>
      </x:c>
      <x:c r="C1218" t="str">
        <x:v>Mujer</x:v>
      </x:c>
      <x:c r="D1218" t="str">
        <x:v>k) 50 a 54 años</x:v>
      </x:c>
      <x:c r="E1218" s="1" t="n">
        <x:v>12</x:v>
      </x:c>
    </x:row>
    <x:row r="1219">
      <x:c r="A1219" t="str">
        <x:v>MILPA ALTA</x:v>
      </x:c>
      <x:c r="B1219" t="str">
        <x:v>Cuauhtetec</x:v>
      </x:c>
      <x:c r="C1219" t="str">
        <x:v>Mujer</x:v>
      </x:c>
      <x:c r="D1219" t="str">
        <x:v>l) 55 a 59 años</x:v>
      </x:c>
      <x:c r="E1219" s="1" t="n">
        <x:v>4</x:v>
      </x:c>
    </x:row>
    <x:row r="1220">
      <x:c r="A1220" t="str">
        <x:v>MILPA ALTA</x:v>
      </x:c>
      <x:c r="B1220" t="str">
        <x:v>Cuauhtetec</x:v>
      </x:c>
      <x:c r="C1220" t="str">
        <x:v>Mujer</x:v>
      </x:c>
      <x:c r="D1220" t="str">
        <x:v>m) 60 a 64 años</x:v>
      </x:c>
      <x:c r="E1220" s="1" t="n">
        <x:v>4</x:v>
      </x:c>
    </x:row>
    <x:row r="1221">
      <x:c r="A1221" t="str">
        <x:v>MILPA ALTA</x:v>
      </x:c>
      <x:c r="B1221" t="str">
        <x:v>Cuauhtetec</x:v>
      </x:c>
      <x:c r="C1221" t="str">
        <x:v>Mujer</x:v>
      </x:c>
      <x:c r="D1221" t="str">
        <x:v>n) 65 a 69 años</x:v>
      </x:c>
      <x:c r="E1221" s="1" t="n">
        <x:v>3</x:v>
      </x:c>
    </x:row>
    <x:row r="1222">
      <x:c r="A1222" t="str">
        <x:v>MILPA ALTA</x:v>
      </x:c>
      <x:c r="B1222" t="str">
        <x:v>Cuauhtetec</x:v>
      </x:c>
      <x:c r="C1222" t="str">
        <x:v>Mujer</x:v>
      </x:c>
      <x:c r="D1222" t="str">
        <x:v>o) 70 a 74 años</x:v>
      </x:c>
      <x:c r="E1222" s="1" t="n">
        <x:v>0</x:v>
      </x:c>
    </x:row>
    <x:row r="1223">
      <x:c r="A1223" t="str">
        <x:v>MILPA ALTA</x:v>
      </x:c>
      <x:c r="B1223" t="str">
        <x:v>Cuauhtetec</x:v>
      </x:c>
      <x:c r="C1223" t="str">
        <x:v>Mujer</x:v>
      </x:c>
      <x:c r="D1223" t="str">
        <x:v>p) 75 a 79 años</x:v>
      </x:c>
      <x:c r="E1223" s="1" t="n">
        <x:v>0</x:v>
      </x:c>
    </x:row>
    <x:row r="1224">
      <x:c r="A1224" t="str">
        <x:v>MILPA ALTA</x:v>
      </x:c>
      <x:c r="B1224" t="str">
        <x:v>Cuauhtetec</x:v>
      </x:c>
      <x:c r="C1224" t="str">
        <x:v>Mujer</x:v>
      </x:c>
      <x:c r="D1224" t="str">
        <x:v>q) 80 a 84 años</x:v>
      </x:c>
      <x:c r="E1224" s="1" t="n">
        <x:v>0</x:v>
      </x:c>
    </x:row>
    <x:row r="1225">
      <x:c r="A1225" t="str">
        <x:v>MILPA ALTA</x:v>
      </x:c>
      <x:c r="B1225" t="str">
        <x:v>Cuauhtetec</x:v>
      </x:c>
      <x:c r="C1225" t="str">
        <x:v>Mujer</x:v>
      </x:c>
      <x:c r="D1225" t="str">
        <x:v>r) 85 años y más</x:v>
      </x:c>
      <x:c r="E1225" s="1" t="n">
        <x:v>0</x:v>
      </x:c>
    </x:row>
    <x:row r="1226">
      <x:c r="A1226" t="str">
        <x:v>MILPA ALTA</x:v>
      </x:c>
      <x:c r="B1226" t="str">
        <x:v>Olla de Piedra</x:v>
      </x:c>
      <x:c r="C1226" t="str">
        <x:v>Hombre</x:v>
      </x:c>
      <x:c r="D1226" t="str">
        <x:v>a) 0 a 4 años</x:v>
      </x:c>
      <x:c r="E1226" s="1" t="n">
        <x:v>6</x:v>
      </x:c>
    </x:row>
    <x:row r="1227">
      <x:c r="A1227" t="str">
        <x:v>MILPA ALTA</x:v>
      </x:c>
      <x:c r="B1227" t="str">
        <x:v>Olla de Piedra</x:v>
      </x:c>
      <x:c r="C1227" t="str">
        <x:v>Hombre</x:v>
      </x:c>
      <x:c r="D1227" t="str">
        <x:v>b) 5 a 9 años</x:v>
      </x:c>
      <x:c r="E1227" s="1" t="n">
        <x:v>3</x:v>
      </x:c>
    </x:row>
    <x:row r="1228">
      <x:c r="A1228" t="str">
        <x:v>MILPA ALTA</x:v>
      </x:c>
      <x:c r="B1228" t="str">
        <x:v>Olla de Piedra</x:v>
      </x:c>
      <x:c r="C1228" t="str">
        <x:v>Hombre</x:v>
      </x:c>
      <x:c r="D1228" t="str">
        <x:v>c) 10 a 14 años</x:v>
      </x:c>
      <x:c r="E1228" s="1" t="n">
        <x:v>9</x:v>
      </x:c>
    </x:row>
    <x:row r="1229">
      <x:c r="A1229" t="str">
        <x:v>MILPA ALTA</x:v>
      </x:c>
      <x:c r="B1229" t="str">
        <x:v>Olla de Piedra</x:v>
      </x:c>
      <x:c r="C1229" t="str">
        <x:v>Hombre</x:v>
      </x:c>
      <x:c r="D1229" t="str">
        <x:v>d) 15 a 19 años</x:v>
      </x:c>
      <x:c r="E1229" s="1" t="n">
        <x:v>9</x:v>
      </x:c>
    </x:row>
    <x:row r="1230">
      <x:c r="A1230" t="str">
        <x:v>MILPA ALTA</x:v>
      </x:c>
      <x:c r="B1230" t="str">
        <x:v>Olla de Piedra</x:v>
      </x:c>
      <x:c r="C1230" t="str">
        <x:v>Hombre</x:v>
      </x:c>
      <x:c r="D1230" t="str">
        <x:v>e) 20 a 24 años</x:v>
      </x:c>
      <x:c r="E1230" s="1" t="n">
        <x:v>4</x:v>
      </x:c>
    </x:row>
    <x:row r="1231">
      <x:c r="A1231" t="str">
        <x:v>MILPA ALTA</x:v>
      </x:c>
      <x:c r="B1231" t="str">
        <x:v>Olla de Piedra</x:v>
      </x:c>
      <x:c r="C1231" t="str">
        <x:v>Hombre</x:v>
      </x:c>
      <x:c r="D1231" t="str">
        <x:v>f) 25 a 29 años</x:v>
      </x:c>
      <x:c r="E1231" s="1" t="n">
        <x:v>2</x:v>
      </x:c>
    </x:row>
    <x:row r="1232">
      <x:c r="A1232" t="str">
        <x:v>MILPA ALTA</x:v>
      </x:c>
      <x:c r="B1232" t="str">
        <x:v>Olla de Piedra</x:v>
      </x:c>
      <x:c r="C1232" t="str">
        <x:v>Hombre</x:v>
      </x:c>
      <x:c r="D1232" t="str">
        <x:v>g) 30 a 34 años</x:v>
      </x:c>
      <x:c r="E1232" s="1" t="n">
        <x:v>5</x:v>
      </x:c>
    </x:row>
    <x:row r="1233">
      <x:c r="A1233" t="str">
        <x:v>MILPA ALTA</x:v>
      </x:c>
      <x:c r="B1233" t="str">
        <x:v>Olla de Piedra</x:v>
      </x:c>
      <x:c r="C1233" t="str">
        <x:v>Hombre</x:v>
      </x:c>
      <x:c r="D1233" t="str">
        <x:v>h) 35 a 39 años</x:v>
      </x:c>
      <x:c r="E1233" s="1" t="n">
        <x:v>5</x:v>
      </x:c>
    </x:row>
    <x:row r="1234">
      <x:c r="A1234" t="str">
        <x:v>MILPA ALTA</x:v>
      </x:c>
      <x:c r="B1234" t="str">
        <x:v>Olla de Piedra</x:v>
      </x:c>
      <x:c r="C1234" t="str">
        <x:v>Hombre</x:v>
      </x:c>
      <x:c r="D1234" t="str">
        <x:v>i) 40 a 44 años</x:v>
      </x:c>
      <x:c r="E1234" s="1" t="n">
        <x:v>10</x:v>
      </x:c>
    </x:row>
    <x:row r="1235">
      <x:c r="A1235" t="str">
        <x:v>MILPA ALTA</x:v>
      </x:c>
      <x:c r="B1235" t="str">
        <x:v>Olla de Piedra</x:v>
      </x:c>
      <x:c r="C1235" t="str">
        <x:v>Hombre</x:v>
      </x:c>
      <x:c r="D1235" t="str">
        <x:v>j) 45 a 49 años</x:v>
      </x:c>
      <x:c r="E1235" s="1" t="n">
        <x:v>4</x:v>
      </x:c>
    </x:row>
    <x:row r="1236">
      <x:c r="A1236" t="str">
        <x:v>MILPA ALTA</x:v>
      </x:c>
      <x:c r="B1236" t="str">
        <x:v>Olla de Piedra</x:v>
      </x:c>
      <x:c r="C1236" t="str">
        <x:v>Hombre</x:v>
      </x:c>
      <x:c r="D1236" t="str">
        <x:v>k) 50 a 54 años</x:v>
      </x:c>
      <x:c r="E1236" s="1" t="n">
        <x:v>2</x:v>
      </x:c>
    </x:row>
    <x:row r="1237">
      <x:c r="A1237" t="str">
        <x:v>MILPA ALTA</x:v>
      </x:c>
      <x:c r="B1237" t="str">
        <x:v>Olla de Piedra</x:v>
      </x:c>
      <x:c r="C1237" t="str">
        <x:v>Hombre</x:v>
      </x:c>
      <x:c r="D1237" t="str">
        <x:v>l) 55 a 59 años</x:v>
      </x:c>
      <x:c r="E1237" s="1" t="n">
        <x:v>2</x:v>
      </x:c>
    </x:row>
    <x:row r="1238">
      <x:c r="A1238" t="str">
        <x:v>MILPA ALTA</x:v>
      </x:c>
      <x:c r="B1238" t="str">
        <x:v>Olla de Piedra</x:v>
      </x:c>
      <x:c r="C1238" t="str">
        <x:v>Hombre</x:v>
      </x:c>
      <x:c r="D1238" t="str">
        <x:v>m) 60 a 64 años</x:v>
      </x:c>
      <x:c r="E1238" s="1" t="n">
        <x:v>1</x:v>
      </x:c>
    </x:row>
    <x:row r="1239">
      <x:c r="A1239" t="str">
        <x:v>MILPA ALTA</x:v>
      </x:c>
      <x:c r="B1239" t="str">
        <x:v>Olla de Piedra</x:v>
      </x:c>
      <x:c r="C1239" t="str">
        <x:v>Hombre</x:v>
      </x:c>
      <x:c r="D1239" t="str">
        <x:v>n) 65 a 69 años</x:v>
      </x:c>
      <x:c r="E1239" s="1" t="n">
        <x:v>1</x:v>
      </x:c>
    </x:row>
    <x:row r="1240">
      <x:c r="A1240" t="str">
        <x:v>MILPA ALTA</x:v>
      </x:c>
      <x:c r="B1240" t="str">
        <x:v>Olla de Piedra</x:v>
      </x:c>
      <x:c r="C1240" t="str">
        <x:v>Hombre</x:v>
      </x:c>
      <x:c r="D1240" t="str">
        <x:v>o) 70 a 74 años</x:v>
      </x:c>
      <x:c r="E1240" s="1" t="n">
        <x:v>1</x:v>
      </x:c>
    </x:row>
    <x:row r="1241">
      <x:c r="A1241" t="str">
        <x:v>MILPA ALTA</x:v>
      </x:c>
      <x:c r="B1241" t="str">
        <x:v>Olla de Piedra</x:v>
      </x:c>
      <x:c r="C1241" t="str">
        <x:v>Hombre</x:v>
      </x:c>
      <x:c r="D1241" t="str">
        <x:v>p) 75 a 79 años</x:v>
      </x:c>
      <x:c r="E1241" s="1" t="n">
        <x:v>0</x:v>
      </x:c>
    </x:row>
    <x:row r="1242">
      <x:c r="A1242" t="str">
        <x:v>MILPA ALTA</x:v>
      </x:c>
      <x:c r="B1242" t="str">
        <x:v>Olla de Piedra</x:v>
      </x:c>
      <x:c r="C1242" t="str">
        <x:v>Hombre</x:v>
      </x:c>
      <x:c r="D1242" t="str">
        <x:v>q) 80 a 84 años</x:v>
      </x:c>
      <x:c r="E1242" s="1" t="n">
        <x:v>0</x:v>
      </x:c>
    </x:row>
    <x:row r="1243">
      <x:c r="A1243" t="str">
        <x:v>MILPA ALTA</x:v>
      </x:c>
      <x:c r="B1243" t="str">
        <x:v>Olla de Piedra</x:v>
      </x:c>
      <x:c r="C1243" t="str">
        <x:v>Hombre</x:v>
      </x:c>
      <x:c r="D1243" t="str">
        <x:v>r) 85 años y más</x:v>
      </x:c>
      <x:c r="E1243" s="1" t="n">
        <x:v>0</x:v>
      </x:c>
    </x:row>
    <x:row r="1244">
      <x:c r="A1244" t="str">
        <x:v>MILPA ALTA</x:v>
      </x:c>
      <x:c r="B1244" t="str">
        <x:v>Olla de Piedra</x:v>
      </x:c>
      <x:c r="C1244" t="str">
        <x:v>Mujer</x:v>
      </x:c>
      <x:c r="D1244" t="str">
        <x:v>a) 0 a 4 años</x:v>
      </x:c>
      <x:c r="E1244" s="1" t="n">
        <x:v>5</x:v>
      </x:c>
    </x:row>
    <x:row r="1245">
      <x:c r="A1245" t="str">
        <x:v>MILPA ALTA</x:v>
      </x:c>
      <x:c r="B1245" t="str">
        <x:v>Olla de Piedra</x:v>
      </x:c>
      <x:c r="C1245" t="str">
        <x:v>Mujer</x:v>
      </x:c>
      <x:c r="D1245" t="str">
        <x:v>b) 5 a 9 años</x:v>
      </x:c>
      <x:c r="E1245" s="1" t="n">
        <x:v>6</x:v>
      </x:c>
    </x:row>
    <x:row r="1246">
      <x:c r="A1246" t="str">
        <x:v>MILPA ALTA</x:v>
      </x:c>
      <x:c r="B1246" t="str">
        <x:v>Olla de Piedra</x:v>
      </x:c>
      <x:c r="C1246" t="str">
        <x:v>Mujer</x:v>
      </x:c>
      <x:c r="D1246" t="str">
        <x:v>c) 10 a 14 años</x:v>
      </x:c>
      <x:c r="E1246" s="1" t="n">
        <x:v>3</x:v>
      </x:c>
    </x:row>
    <x:row r="1247">
      <x:c r="A1247" t="str">
        <x:v>MILPA ALTA</x:v>
      </x:c>
      <x:c r="B1247" t="str">
        <x:v>Olla de Piedra</x:v>
      </x:c>
      <x:c r="C1247" t="str">
        <x:v>Mujer</x:v>
      </x:c>
      <x:c r="D1247" t="str">
        <x:v>d) 15 a 19 años</x:v>
      </x:c>
      <x:c r="E1247" s="1" t="n">
        <x:v>6</x:v>
      </x:c>
    </x:row>
    <x:row r="1248">
      <x:c r="A1248" t="str">
        <x:v>MILPA ALTA</x:v>
      </x:c>
      <x:c r="B1248" t="str">
        <x:v>Olla de Piedra</x:v>
      </x:c>
      <x:c r="C1248" t="str">
        <x:v>Mujer</x:v>
      </x:c>
      <x:c r="D1248" t="str">
        <x:v>e) 20 a 24 años</x:v>
      </x:c>
      <x:c r="E1248" s="1" t="n">
        <x:v>7</x:v>
      </x:c>
    </x:row>
    <x:row r="1249">
      <x:c r="A1249" t="str">
        <x:v>MILPA ALTA</x:v>
      </x:c>
      <x:c r="B1249" t="str">
        <x:v>Olla de Piedra</x:v>
      </x:c>
      <x:c r="C1249" t="str">
        <x:v>Mujer</x:v>
      </x:c>
      <x:c r="D1249" t="str">
        <x:v>f) 25 a 29 años</x:v>
      </x:c>
      <x:c r="E1249" s="1" t="n">
        <x:v>3</x:v>
      </x:c>
    </x:row>
    <x:row r="1250">
      <x:c r="A1250" t="str">
        <x:v>MILPA ALTA</x:v>
      </x:c>
      <x:c r="B1250" t="str">
        <x:v>Olla de Piedra</x:v>
      </x:c>
      <x:c r="C1250" t="str">
        <x:v>Mujer</x:v>
      </x:c>
      <x:c r="D1250" t="str">
        <x:v>g) 30 a 34 años</x:v>
      </x:c>
      <x:c r="E1250" s="1" t="n">
        <x:v>5</x:v>
      </x:c>
    </x:row>
    <x:row r="1251">
      <x:c r="A1251" t="str">
        <x:v>MILPA ALTA</x:v>
      </x:c>
      <x:c r="B1251" t="str">
        <x:v>Olla de Piedra</x:v>
      </x:c>
      <x:c r="C1251" t="str">
        <x:v>Mujer</x:v>
      </x:c>
      <x:c r="D1251" t="str">
        <x:v>h) 35 a 39 años</x:v>
      </x:c>
      <x:c r="E1251" s="1" t="n">
        <x:v>12</x:v>
      </x:c>
    </x:row>
    <x:row r="1252">
      <x:c r="A1252" t="str">
        <x:v>MILPA ALTA</x:v>
      </x:c>
      <x:c r="B1252" t="str">
        <x:v>Olla de Piedra</x:v>
      </x:c>
      <x:c r="C1252" t="str">
        <x:v>Mujer</x:v>
      </x:c>
      <x:c r="D1252" t="str">
        <x:v>i) 40 a 44 años</x:v>
      </x:c>
      <x:c r="E1252" s="1" t="n">
        <x:v>2</x:v>
      </x:c>
    </x:row>
    <x:row r="1253">
      <x:c r="A1253" t="str">
        <x:v>MILPA ALTA</x:v>
      </x:c>
      <x:c r="B1253" t="str">
        <x:v>Olla de Piedra</x:v>
      </x:c>
      <x:c r="C1253" t="str">
        <x:v>Mujer</x:v>
      </x:c>
      <x:c r="D1253" t="str">
        <x:v>j) 45 a 49 años</x:v>
      </x:c>
      <x:c r="E1253" s="1" t="n">
        <x:v>4</x:v>
      </x:c>
    </x:row>
    <x:row r="1254">
      <x:c r="A1254" t="str">
        <x:v>MILPA ALTA</x:v>
      </x:c>
      <x:c r="B1254" t="str">
        <x:v>Olla de Piedra</x:v>
      </x:c>
      <x:c r="C1254" t="str">
        <x:v>Mujer</x:v>
      </x:c>
      <x:c r="D1254" t="str">
        <x:v>k) 50 a 54 años</x:v>
      </x:c>
      <x:c r="E1254" s="1" t="n">
        <x:v>1</x:v>
      </x:c>
    </x:row>
    <x:row r="1255">
      <x:c r="A1255" t="str">
        <x:v>MILPA ALTA</x:v>
      </x:c>
      <x:c r="B1255" t="str">
        <x:v>Olla de Piedra</x:v>
      </x:c>
      <x:c r="C1255" t="str">
        <x:v>Mujer</x:v>
      </x:c>
      <x:c r="D1255" t="str">
        <x:v>l) 55 a 59 años</x:v>
      </x:c>
      <x:c r="E1255" s="1" t="n">
        <x:v>4</x:v>
      </x:c>
    </x:row>
    <x:row r="1256">
      <x:c r="A1256" t="str">
        <x:v>MILPA ALTA</x:v>
      </x:c>
      <x:c r="B1256" t="str">
        <x:v>Olla de Piedra</x:v>
      </x:c>
      <x:c r="C1256" t="str">
        <x:v>Mujer</x:v>
      </x:c>
      <x:c r="D1256" t="str">
        <x:v>m) 60 a 64 años</x:v>
      </x:c>
      <x:c r="E1256" s="1" t="n">
        <x:v>1</x:v>
      </x:c>
    </x:row>
    <x:row r="1257">
      <x:c r="A1257" t="str">
        <x:v>MILPA ALTA</x:v>
      </x:c>
      <x:c r="B1257" t="str">
        <x:v>Olla de Piedra</x:v>
      </x:c>
      <x:c r="C1257" t="str">
        <x:v>Mujer</x:v>
      </x:c>
      <x:c r="D1257" t="str">
        <x:v>n) 65 a 69 años</x:v>
      </x:c>
      <x:c r="E1257" s="1" t="n">
        <x:v>1</x:v>
      </x:c>
    </x:row>
    <x:row r="1258">
      <x:c r="A1258" t="str">
        <x:v>MILPA ALTA</x:v>
      </x:c>
      <x:c r="B1258" t="str">
        <x:v>Olla de Piedra</x:v>
      </x:c>
      <x:c r="C1258" t="str">
        <x:v>Mujer</x:v>
      </x:c>
      <x:c r="D1258" t="str">
        <x:v>o) 70 a 74 años</x:v>
      </x:c>
      <x:c r="E1258" s="1" t="n">
        <x:v>2</x:v>
      </x:c>
    </x:row>
    <x:row r="1259">
      <x:c r="A1259" t="str">
        <x:v>MILPA ALTA</x:v>
      </x:c>
      <x:c r="B1259" t="str">
        <x:v>Olla de Piedra</x:v>
      </x:c>
      <x:c r="C1259" t="str">
        <x:v>Mujer</x:v>
      </x:c>
      <x:c r="D1259" t="str">
        <x:v>p) 75 a 79 años</x:v>
      </x:c>
      <x:c r="E1259" s="1" t="n">
        <x:v>0</x:v>
      </x:c>
    </x:row>
    <x:row r="1260">
      <x:c r="A1260" t="str">
        <x:v>MILPA ALTA</x:v>
      </x:c>
      <x:c r="B1260" t="str">
        <x:v>Olla de Piedra</x:v>
      </x:c>
      <x:c r="C1260" t="str">
        <x:v>Mujer</x:v>
      </x:c>
      <x:c r="D1260" t="str">
        <x:v>q) 80 a 84 años</x:v>
      </x:c>
      <x:c r="E1260" s="1" t="n">
        <x:v>0</x:v>
      </x:c>
    </x:row>
    <x:row r="1261">
      <x:c r="A1261" t="str">
        <x:v>MILPA ALTA</x:v>
      </x:c>
      <x:c r="B1261" t="str">
        <x:v>Olla de Piedra</x:v>
      </x:c>
      <x:c r="C1261" t="str">
        <x:v>Mujer</x:v>
      </x:c>
      <x:c r="D1261" t="str">
        <x:v>r) 85 años y más</x:v>
      </x:c>
      <x:c r="E1261" s="1" t="n">
        <x:v>0</x:v>
      </x:c>
    </x:row>
    <x:row r="1262">
      <x:c r="A1262" t="str">
        <x:v>MILPA ALTA</x:v>
      </x:c>
      <x:c r="B1262" t="str">
        <x:v>Oluca</x:v>
      </x:c>
      <x:c r="C1262" t="str">
        <x:v>Hombre</x:v>
      </x:c>
      <x:c r="D1262" t="str">
        <x:v>a) 0 a 4 años</x:v>
      </x:c>
      <x:c r="E1262" s="1" t="n">
        <x:v>10</x:v>
      </x:c>
    </x:row>
    <x:row r="1263">
      <x:c r="A1263" t="str">
        <x:v>MILPA ALTA</x:v>
      </x:c>
      <x:c r="B1263" t="str">
        <x:v>Oluca</x:v>
      </x:c>
      <x:c r="C1263" t="str">
        <x:v>Hombre</x:v>
      </x:c>
      <x:c r="D1263" t="str">
        <x:v>b) 5 a 9 años</x:v>
      </x:c>
      <x:c r="E1263" s="1" t="n">
        <x:v>18</x:v>
      </x:c>
    </x:row>
    <x:row r="1264">
      <x:c r="A1264" t="str">
        <x:v>MILPA ALTA</x:v>
      </x:c>
      <x:c r="B1264" t="str">
        <x:v>Oluca</x:v>
      </x:c>
      <x:c r="C1264" t="str">
        <x:v>Hombre</x:v>
      </x:c>
      <x:c r="D1264" t="str">
        <x:v>c) 10 a 14 años</x:v>
      </x:c>
      <x:c r="E1264" s="1" t="n">
        <x:v>22</x:v>
      </x:c>
    </x:row>
    <x:row r="1265">
      <x:c r="A1265" t="str">
        <x:v>MILPA ALTA</x:v>
      </x:c>
      <x:c r="B1265" t="str">
        <x:v>Oluca</x:v>
      </x:c>
      <x:c r="C1265" t="str">
        <x:v>Hombre</x:v>
      </x:c>
      <x:c r="D1265" t="str">
        <x:v>d) 15 a 19 años</x:v>
      </x:c>
      <x:c r="E1265" s="1" t="n">
        <x:v>20</x:v>
      </x:c>
    </x:row>
    <x:row r="1266">
      <x:c r="A1266" t="str">
        <x:v>MILPA ALTA</x:v>
      </x:c>
      <x:c r="B1266" t="str">
        <x:v>Oluca</x:v>
      </x:c>
      <x:c r="C1266" t="str">
        <x:v>Hombre</x:v>
      </x:c>
      <x:c r="D1266" t="str">
        <x:v>e) 20 a 24 años</x:v>
      </x:c>
      <x:c r="E1266" s="1" t="n">
        <x:v>16</x:v>
      </x:c>
    </x:row>
    <x:row r="1267">
      <x:c r="A1267" t="str">
        <x:v>MILPA ALTA</x:v>
      </x:c>
      <x:c r="B1267" t="str">
        <x:v>Oluca</x:v>
      </x:c>
      <x:c r="C1267" t="str">
        <x:v>Hombre</x:v>
      </x:c>
      <x:c r="D1267" t="str">
        <x:v>f) 25 a 29 años</x:v>
      </x:c>
      <x:c r="E1267" s="1" t="n">
        <x:v>17</x:v>
      </x:c>
    </x:row>
    <x:row r="1268">
      <x:c r="A1268" t="str">
        <x:v>MILPA ALTA</x:v>
      </x:c>
      <x:c r="B1268" t="str">
        <x:v>Oluca</x:v>
      </x:c>
      <x:c r="C1268" t="str">
        <x:v>Hombre</x:v>
      </x:c>
      <x:c r="D1268" t="str">
        <x:v>g) 30 a 34 años</x:v>
      </x:c>
      <x:c r="E1268" s="1" t="n">
        <x:v>13</x:v>
      </x:c>
    </x:row>
    <x:row r="1269">
      <x:c r="A1269" t="str">
        <x:v>MILPA ALTA</x:v>
      </x:c>
      <x:c r="B1269" t="str">
        <x:v>Oluca</x:v>
      </x:c>
      <x:c r="C1269" t="str">
        <x:v>Hombre</x:v>
      </x:c>
      <x:c r="D1269" t="str">
        <x:v>h) 35 a 39 años</x:v>
      </x:c>
      <x:c r="E1269" s="1" t="n">
        <x:v>14</x:v>
      </x:c>
    </x:row>
    <x:row r="1270">
      <x:c r="A1270" t="str">
        <x:v>MILPA ALTA</x:v>
      </x:c>
      <x:c r="B1270" t="str">
        <x:v>Oluca</x:v>
      </x:c>
      <x:c r="C1270" t="str">
        <x:v>Hombre</x:v>
      </x:c>
      <x:c r="D1270" t="str">
        <x:v>i) 40 a 44 años</x:v>
      </x:c>
      <x:c r="E1270" s="1" t="n">
        <x:v>12</x:v>
      </x:c>
    </x:row>
    <x:row r="1271">
      <x:c r="A1271" t="str">
        <x:v>MILPA ALTA</x:v>
      </x:c>
      <x:c r="B1271" t="str">
        <x:v>Oluca</x:v>
      </x:c>
      <x:c r="C1271" t="str">
        <x:v>Hombre</x:v>
      </x:c>
      <x:c r="D1271" t="str">
        <x:v>j) 45 a 49 años</x:v>
      </x:c>
      <x:c r="E1271" s="1" t="n">
        <x:v>14</x:v>
      </x:c>
    </x:row>
    <x:row r="1272">
      <x:c r="A1272" t="str">
        <x:v>MILPA ALTA</x:v>
      </x:c>
      <x:c r="B1272" t="str">
        <x:v>Oluca</x:v>
      </x:c>
      <x:c r="C1272" t="str">
        <x:v>Hombre</x:v>
      </x:c>
      <x:c r="D1272" t="str">
        <x:v>k) 50 a 54 años</x:v>
      </x:c>
      <x:c r="E1272" s="1" t="n">
        <x:v>15</x:v>
      </x:c>
    </x:row>
    <x:row r="1273">
      <x:c r="A1273" t="str">
        <x:v>MILPA ALTA</x:v>
      </x:c>
      <x:c r="B1273" t="str">
        <x:v>Oluca</x:v>
      </x:c>
      <x:c r="C1273" t="str">
        <x:v>Hombre</x:v>
      </x:c>
      <x:c r="D1273" t="str">
        <x:v>l) 55 a 59 años</x:v>
      </x:c>
      <x:c r="E1273" s="1" t="n">
        <x:v>13</x:v>
      </x:c>
    </x:row>
    <x:row r="1274">
      <x:c r="A1274" t="str">
        <x:v>MILPA ALTA</x:v>
      </x:c>
      <x:c r="B1274" t="str">
        <x:v>Oluca</x:v>
      </x:c>
      <x:c r="C1274" t="str">
        <x:v>Hombre</x:v>
      </x:c>
      <x:c r="D1274" t="str">
        <x:v>m) 60 a 64 años</x:v>
      </x:c>
      <x:c r="E1274" s="1" t="n">
        <x:v>3</x:v>
      </x:c>
    </x:row>
    <x:row r="1275">
      <x:c r="A1275" t="str">
        <x:v>MILPA ALTA</x:v>
      </x:c>
      <x:c r="B1275" t="str">
        <x:v>Oluca</x:v>
      </x:c>
      <x:c r="C1275" t="str">
        <x:v>Hombre</x:v>
      </x:c>
      <x:c r="D1275" t="str">
        <x:v>n) 65 a 69 años</x:v>
      </x:c>
      <x:c r="E1275" s="1" t="n">
        <x:v>2</x:v>
      </x:c>
    </x:row>
    <x:row r="1276">
      <x:c r="A1276" t="str">
        <x:v>MILPA ALTA</x:v>
      </x:c>
      <x:c r="B1276" t="str">
        <x:v>Oluca</x:v>
      </x:c>
      <x:c r="C1276" t="str">
        <x:v>Hombre</x:v>
      </x:c>
      <x:c r="D1276" t="str">
        <x:v>o) 70 a 74 años</x:v>
      </x:c>
      <x:c r="E1276" s="1" t="n">
        <x:v>1</x:v>
      </x:c>
    </x:row>
    <x:row r="1277">
      <x:c r="A1277" t="str">
        <x:v>MILPA ALTA</x:v>
      </x:c>
      <x:c r="B1277" t="str">
        <x:v>Oluca</x:v>
      </x:c>
      <x:c r="C1277" t="str">
        <x:v>Hombre</x:v>
      </x:c>
      <x:c r="D1277" t="str">
        <x:v>p) 75 a 79 años</x:v>
      </x:c>
      <x:c r="E1277" s="1" t="n">
        <x:v>1</x:v>
      </x:c>
    </x:row>
    <x:row r="1278">
      <x:c r="A1278" t="str">
        <x:v>MILPA ALTA</x:v>
      </x:c>
      <x:c r="B1278" t="str">
        <x:v>Oluca</x:v>
      </x:c>
      <x:c r="C1278" t="str">
        <x:v>Hombre</x:v>
      </x:c>
      <x:c r="D1278" t="str">
        <x:v>q) 80 a 84 años</x:v>
      </x:c>
      <x:c r="E1278" s="1" t="n">
        <x:v>0</x:v>
      </x:c>
    </x:row>
    <x:row r="1279">
      <x:c r="A1279" t="str">
        <x:v>MILPA ALTA</x:v>
      </x:c>
      <x:c r="B1279" t="str">
        <x:v>Oluca</x:v>
      </x:c>
      <x:c r="C1279" t="str">
        <x:v>Hombre</x:v>
      </x:c>
      <x:c r="D1279" t="str">
        <x:v>r) 85 años y más</x:v>
      </x:c>
      <x:c r="E1279" s="1" t="n">
        <x:v>1</x:v>
      </x:c>
    </x:row>
    <x:row r="1280">
      <x:c r="A1280" t="str">
        <x:v>MILPA ALTA</x:v>
      </x:c>
      <x:c r="B1280" t="str">
        <x:v>Oluca</x:v>
      </x:c>
      <x:c r="C1280" t="str">
        <x:v>Mujer</x:v>
      </x:c>
      <x:c r="D1280" t="str">
        <x:v>a) 0 a 4 años</x:v>
      </x:c>
      <x:c r="E1280" s="1" t="n">
        <x:v>9</x:v>
      </x:c>
    </x:row>
    <x:row r="1281">
      <x:c r="A1281" t="str">
        <x:v>MILPA ALTA</x:v>
      </x:c>
      <x:c r="B1281" t="str">
        <x:v>Oluca</x:v>
      </x:c>
      <x:c r="C1281" t="str">
        <x:v>Mujer</x:v>
      </x:c>
      <x:c r="D1281" t="str">
        <x:v>b) 5 a 9 años</x:v>
      </x:c>
      <x:c r="E1281" s="1" t="n">
        <x:v>15</x:v>
      </x:c>
    </x:row>
    <x:row r="1282">
      <x:c r="A1282" t="str">
        <x:v>MILPA ALTA</x:v>
      </x:c>
      <x:c r="B1282" t="str">
        <x:v>Oluca</x:v>
      </x:c>
      <x:c r="C1282" t="str">
        <x:v>Mujer</x:v>
      </x:c>
      <x:c r="D1282" t="str">
        <x:v>c) 10 a 14 años</x:v>
      </x:c>
      <x:c r="E1282" s="1" t="n">
        <x:v>12</x:v>
      </x:c>
    </x:row>
    <x:row r="1283">
      <x:c r="A1283" t="str">
        <x:v>MILPA ALTA</x:v>
      </x:c>
      <x:c r="B1283" t="str">
        <x:v>Oluca</x:v>
      </x:c>
      <x:c r="C1283" t="str">
        <x:v>Mujer</x:v>
      </x:c>
      <x:c r="D1283" t="str">
        <x:v>d) 15 a 19 años</x:v>
      </x:c>
      <x:c r="E1283" s="1" t="n">
        <x:v>19</x:v>
      </x:c>
    </x:row>
    <x:row r="1284">
      <x:c r="A1284" t="str">
        <x:v>MILPA ALTA</x:v>
      </x:c>
      <x:c r="B1284" t="str">
        <x:v>Oluca</x:v>
      </x:c>
      <x:c r="C1284" t="str">
        <x:v>Mujer</x:v>
      </x:c>
      <x:c r="D1284" t="str">
        <x:v>e) 20 a 24 años</x:v>
      </x:c>
      <x:c r="E1284" s="1" t="n">
        <x:v>13</x:v>
      </x:c>
    </x:row>
    <x:row r="1285">
      <x:c r="A1285" t="str">
        <x:v>MILPA ALTA</x:v>
      </x:c>
      <x:c r="B1285" t="str">
        <x:v>Oluca</x:v>
      </x:c>
      <x:c r="C1285" t="str">
        <x:v>Mujer</x:v>
      </x:c>
      <x:c r="D1285" t="str">
        <x:v>f) 25 a 29 años</x:v>
      </x:c>
      <x:c r="E1285" s="1" t="n">
        <x:v>11</x:v>
      </x:c>
    </x:row>
    <x:row r="1286">
      <x:c r="A1286" t="str">
        <x:v>MILPA ALTA</x:v>
      </x:c>
      <x:c r="B1286" t="str">
        <x:v>Oluca</x:v>
      </x:c>
      <x:c r="C1286" t="str">
        <x:v>Mujer</x:v>
      </x:c>
      <x:c r="D1286" t="str">
        <x:v>g) 30 a 34 años</x:v>
      </x:c>
      <x:c r="E1286" s="1" t="n">
        <x:v>15</x:v>
      </x:c>
    </x:row>
    <x:row r="1287">
      <x:c r="A1287" t="str">
        <x:v>MILPA ALTA</x:v>
      </x:c>
      <x:c r="B1287" t="str">
        <x:v>Oluca</x:v>
      </x:c>
      <x:c r="C1287" t="str">
        <x:v>Mujer</x:v>
      </x:c>
      <x:c r="D1287" t="str">
        <x:v>h) 35 a 39 años</x:v>
      </x:c>
      <x:c r="E1287" s="1" t="n">
        <x:v>12</x:v>
      </x:c>
    </x:row>
    <x:row r="1288">
      <x:c r="A1288" t="str">
        <x:v>MILPA ALTA</x:v>
      </x:c>
      <x:c r="B1288" t="str">
        <x:v>Oluca</x:v>
      </x:c>
      <x:c r="C1288" t="str">
        <x:v>Mujer</x:v>
      </x:c>
      <x:c r="D1288" t="str">
        <x:v>i) 40 a 44 años</x:v>
      </x:c>
      <x:c r="E1288" s="1" t="n">
        <x:v>20</x:v>
      </x:c>
    </x:row>
    <x:row r="1289">
      <x:c r="A1289" t="str">
        <x:v>MILPA ALTA</x:v>
      </x:c>
      <x:c r="B1289" t="str">
        <x:v>Oluca</x:v>
      </x:c>
      <x:c r="C1289" t="str">
        <x:v>Mujer</x:v>
      </x:c>
      <x:c r="D1289" t="str">
        <x:v>j) 45 a 49 años</x:v>
      </x:c>
      <x:c r="E1289" s="1" t="n">
        <x:v>18</x:v>
      </x:c>
    </x:row>
    <x:row r="1290">
      <x:c r="A1290" t="str">
        <x:v>MILPA ALTA</x:v>
      </x:c>
      <x:c r="B1290" t="str">
        <x:v>Oluca</x:v>
      </x:c>
      <x:c r="C1290" t="str">
        <x:v>Mujer</x:v>
      </x:c>
      <x:c r="D1290" t="str">
        <x:v>k) 50 a 54 años</x:v>
      </x:c>
      <x:c r="E1290" s="1" t="n">
        <x:v>6</x:v>
      </x:c>
    </x:row>
    <x:row r="1291">
      <x:c r="A1291" t="str">
        <x:v>MILPA ALTA</x:v>
      </x:c>
      <x:c r="B1291" t="str">
        <x:v>Oluca</x:v>
      </x:c>
      <x:c r="C1291" t="str">
        <x:v>Mujer</x:v>
      </x:c>
      <x:c r="D1291" t="str">
        <x:v>l) 55 a 59 años</x:v>
      </x:c>
      <x:c r="E1291" s="1" t="n">
        <x:v>11</x:v>
      </x:c>
    </x:row>
    <x:row r="1292">
      <x:c r="A1292" t="str">
        <x:v>MILPA ALTA</x:v>
      </x:c>
      <x:c r="B1292" t="str">
        <x:v>Oluca</x:v>
      </x:c>
      <x:c r="C1292" t="str">
        <x:v>Mujer</x:v>
      </x:c>
      <x:c r="D1292" t="str">
        <x:v>m) 60 a 64 años</x:v>
      </x:c>
      <x:c r="E1292" s="1" t="n">
        <x:v>7</x:v>
      </x:c>
    </x:row>
    <x:row r="1293">
      <x:c r="A1293" t="str">
        <x:v>MILPA ALTA</x:v>
      </x:c>
      <x:c r="B1293" t="str">
        <x:v>Oluca</x:v>
      </x:c>
      <x:c r="C1293" t="str">
        <x:v>Mujer</x:v>
      </x:c>
      <x:c r="D1293" t="str">
        <x:v>n) 65 a 69 años</x:v>
      </x:c>
      <x:c r="E1293" s="1" t="n">
        <x:v>3</x:v>
      </x:c>
    </x:row>
    <x:row r="1294">
      <x:c r="A1294" t="str">
        <x:v>MILPA ALTA</x:v>
      </x:c>
      <x:c r="B1294" t="str">
        <x:v>Oluca</x:v>
      </x:c>
      <x:c r="C1294" t="str">
        <x:v>Mujer</x:v>
      </x:c>
      <x:c r="D1294" t="str">
        <x:v>o) 70 a 74 años</x:v>
      </x:c>
      <x:c r="E1294" s="1" t="n">
        <x:v>1</x:v>
      </x:c>
    </x:row>
    <x:row r="1295">
      <x:c r="A1295" t="str">
        <x:v>MILPA ALTA</x:v>
      </x:c>
      <x:c r="B1295" t="str">
        <x:v>Oluca</x:v>
      </x:c>
      <x:c r="C1295" t="str">
        <x:v>Mujer</x:v>
      </x:c>
      <x:c r="D1295" t="str">
        <x:v>p) 75 a 79 años</x:v>
      </x:c>
      <x:c r="E1295" s="1" t="n">
        <x:v>1</x:v>
      </x:c>
    </x:row>
    <x:row r="1296">
      <x:c r="A1296" t="str">
        <x:v>MILPA ALTA</x:v>
      </x:c>
      <x:c r="B1296" t="str">
        <x:v>Oluca</x:v>
      </x:c>
      <x:c r="C1296" t="str">
        <x:v>Mujer</x:v>
      </x:c>
      <x:c r="D1296" t="str">
        <x:v>q) 80 a 84 años</x:v>
      </x:c>
      <x:c r="E1296" s="1" t="n">
        <x:v>1</x:v>
      </x:c>
    </x:row>
    <x:row r="1297">
      <x:c r="A1297" t="str">
        <x:v>MILPA ALTA</x:v>
      </x:c>
      <x:c r="B1297" t="str">
        <x:v>Oluca</x:v>
      </x:c>
      <x:c r="C1297" t="str">
        <x:v>Mujer</x:v>
      </x:c>
      <x:c r="D1297" t="str">
        <x:v>r) 85 años y más</x:v>
      </x:c>
      <x:c r="E1297" s="1" t="n">
        <x:v>1</x:v>
      </x:c>
    </x:row>
    <x:row r="1298">
      <x:c r="A1298" t="str">
        <x:v>MILPA ALTA</x:v>
      </x:c>
      <x:c r="B1298" t="str">
        <x:v>Tuzanco (La Joya)</x:v>
      </x:c>
      <x:c r="C1298" t="str">
        <x:v>Hombre</x:v>
      </x:c>
      <x:c r="D1298" t="str">
        <x:v>a) 0 a 4 años</x:v>
      </x:c>
      <x:c r="E1298" s="1" t="n">
        <x:v>13</x:v>
      </x:c>
    </x:row>
    <x:row r="1299">
      <x:c r="A1299" t="str">
        <x:v>MILPA ALTA</x:v>
      </x:c>
      <x:c r="B1299" t="str">
        <x:v>Tuzanco (La Joya)</x:v>
      </x:c>
      <x:c r="C1299" t="str">
        <x:v>Hombre</x:v>
      </x:c>
      <x:c r="D1299" t="str">
        <x:v>b) 5 a 9 años</x:v>
      </x:c>
      <x:c r="E1299" s="1" t="n">
        <x:v>5</x:v>
      </x:c>
    </x:row>
    <x:row r="1300">
      <x:c r="A1300" t="str">
        <x:v>MILPA ALTA</x:v>
      </x:c>
      <x:c r="B1300" t="str">
        <x:v>Tuzanco (La Joya)</x:v>
      </x:c>
      <x:c r="C1300" t="str">
        <x:v>Hombre</x:v>
      </x:c>
      <x:c r="D1300" t="str">
        <x:v>c) 10 a 14 años</x:v>
      </x:c>
      <x:c r="E1300" s="1" t="n">
        <x:v>22</x:v>
      </x:c>
    </x:row>
    <x:row r="1301">
      <x:c r="A1301" t="str">
        <x:v>MILPA ALTA</x:v>
      </x:c>
      <x:c r="B1301" t="str">
        <x:v>Tuzanco (La Joya)</x:v>
      </x:c>
      <x:c r="C1301" t="str">
        <x:v>Hombre</x:v>
      </x:c>
      <x:c r="D1301" t="str">
        <x:v>d) 15 a 19 años</x:v>
      </x:c>
      <x:c r="E1301" s="1" t="n">
        <x:v>27</x:v>
      </x:c>
    </x:row>
    <x:row r="1302">
      <x:c r="A1302" t="str">
        <x:v>MILPA ALTA</x:v>
      </x:c>
      <x:c r="B1302" t="str">
        <x:v>Tuzanco (La Joya)</x:v>
      </x:c>
      <x:c r="C1302" t="str">
        <x:v>Hombre</x:v>
      </x:c>
      <x:c r="D1302" t="str">
        <x:v>e) 20 a 24 años</x:v>
      </x:c>
      <x:c r="E1302" s="1" t="n">
        <x:v>9</x:v>
      </x:c>
    </x:row>
    <x:row r="1303">
      <x:c r="A1303" t="str">
        <x:v>MILPA ALTA</x:v>
      </x:c>
      <x:c r="B1303" t="str">
        <x:v>Tuzanco (La Joya)</x:v>
      </x:c>
      <x:c r="C1303" t="str">
        <x:v>Hombre</x:v>
      </x:c>
      <x:c r="D1303" t="str">
        <x:v>f) 25 a 29 años</x:v>
      </x:c>
      <x:c r="E1303" s="1" t="n">
        <x:v>16</x:v>
      </x:c>
    </x:row>
    <x:row r="1304">
      <x:c r="A1304" t="str">
        <x:v>MILPA ALTA</x:v>
      </x:c>
      <x:c r="B1304" t="str">
        <x:v>Tuzanco (La Joya)</x:v>
      </x:c>
      <x:c r="C1304" t="str">
        <x:v>Hombre</x:v>
      </x:c>
      <x:c r="D1304" t="str">
        <x:v>g) 30 a 34 años</x:v>
      </x:c>
      <x:c r="E1304" s="1" t="n">
        <x:v>10</x:v>
      </x:c>
    </x:row>
    <x:row r="1305">
      <x:c r="A1305" t="str">
        <x:v>MILPA ALTA</x:v>
      </x:c>
      <x:c r="B1305" t="str">
        <x:v>Tuzanco (La Joya)</x:v>
      </x:c>
      <x:c r="C1305" t="str">
        <x:v>Hombre</x:v>
      </x:c>
      <x:c r="D1305" t="str">
        <x:v>h) 35 a 39 años</x:v>
      </x:c>
      <x:c r="E1305" s="1" t="n">
        <x:v>16</x:v>
      </x:c>
    </x:row>
    <x:row r="1306">
      <x:c r="A1306" t="str">
        <x:v>MILPA ALTA</x:v>
      </x:c>
      <x:c r="B1306" t="str">
        <x:v>Tuzanco (La Joya)</x:v>
      </x:c>
      <x:c r="C1306" t="str">
        <x:v>Hombre</x:v>
      </x:c>
      <x:c r="D1306" t="str">
        <x:v>i) 40 a 44 años</x:v>
      </x:c>
      <x:c r="E1306" s="1" t="n">
        <x:v>13</x:v>
      </x:c>
    </x:row>
    <x:row r="1307">
      <x:c r="A1307" t="str">
        <x:v>MILPA ALTA</x:v>
      </x:c>
      <x:c r="B1307" t="str">
        <x:v>Tuzanco (La Joya)</x:v>
      </x:c>
      <x:c r="C1307" t="str">
        <x:v>Hombre</x:v>
      </x:c>
      <x:c r="D1307" t="str">
        <x:v>j) 45 a 49 años</x:v>
      </x:c>
      <x:c r="E1307" s="1" t="n">
        <x:v>13</x:v>
      </x:c>
    </x:row>
    <x:row r="1308">
      <x:c r="A1308" t="str">
        <x:v>MILPA ALTA</x:v>
      </x:c>
      <x:c r="B1308" t="str">
        <x:v>Tuzanco (La Joya)</x:v>
      </x:c>
      <x:c r="C1308" t="str">
        <x:v>Hombre</x:v>
      </x:c>
      <x:c r="D1308" t="str">
        <x:v>k) 50 a 54 años</x:v>
      </x:c>
      <x:c r="E1308" s="1" t="n">
        <x:v>14</x:v>
      </x:c>
    </x:row>
    <x:row r="1309">
      <x:c r="A1309" t="str">
        <x:v>MILPA ALTA</x:v>
      </x:c>
      <x:c r="B1309" t="str">
        <x:v>Tuzanco (La Joya)</x:v>
      </x:c>
      <x:c r="C1309" t="str">
        <x:v>Hombre</x:v>
      </x:c>
      <x:c r="D1309" t="str">
        <x:v>l) 55 a 59 años</x:v>
      </x:c>
      <x:c r="E1309" s="1" t="n">
        <x:v>6</x:v>
      </x:c>
    </x:row>
    <x:row r="1310">
      <x:c r="A1310" t="str">
        <x:v>MILPA ALTA</x:v>
      </x:c>
      <x:c r="B1310" t="str">
        <x:v>Tuzanco (La Joya)</x:v>
      </x:c>
      <x:c r="C1310" t="str">
        <x:v>Hombre</x:v>
      </x:c>
      <x:c r="D1310" t="str">
        <x:v>m) 60 a 64 años</x:v>
      </x:c>
      <x:c r="E1310" s="1" t="n">
        <x:v>4</x:v>
      </x:c>
    </x:row>
    <x:row r="1311">
      <x:c r="A1311" t="str">
        <x:v>MILPA ALTA</x:v>
      </x:c>
      <x:c r="B1311" t="str">
        <x:v>Tuzanco (La Joya)</x:v>
      </x:c>
      <x:c r="C1311" t="str">
        <x:v>Hombre</x:v>
      </x:c>
      <x:c r="D1311" t="str">
        <x:v>n) 65 a 69 años</x:v>
      </x:c>
      <x:c r="E1311" s="1" t="n">
        <x:v>2</x:v>
      </x:c>
    </x:row>
    <x:row r="1312">
      <x:c r="A1312" t="str">
        <x:v>MILPA ALTA</x:v>
      </x:c>
      <x:c r="B1312" t="str">
        <x:v>Tuzanco (La Joya)</x:v>
      </x:c>
      <x:c r="C1312" t="str">
        <x:v>Hombre</x:v>
      </x:c>
      <x:c r="D1312" t="str">
        <x:v>o) 70 a 74 años</x:v>
      </x:c>
      <x:c r="E1312" s="1" t="n">
        <x:v>2</x:v>
      </x:c>
    </x:row>
    <x:row r="1313">
      <x:c r="A1313" t="str">
        <x:v>MILPA ALTA</x:v>
      </x:c>
      <x:c r="B1313" t="str">
        <x:v>Tuzanco (La Joya)</x:v>
      </x:c>
      <x:c r="C1313" t="str">
        <x:v>Hombre</x:v>
      </x:c>
      <x:c r="D1313" t="str">
        <x:v>p) 75 a 79 años</x:v>
      </x:c>
      <x:c r="E1313" s="1" t="n">
        <x:v>0</x:v>
      </x:c>
    </x:row>
    <x:row r="1314">
      <x:c r="A1314" t="str">
        <x:v>MILPA ALTA</x:v>
      </x:c>
      <x:c r="B1314" t="str">
        <x:v>Tuzanco (La Joya)</x:v>
      </x:c>
      <x:c r="C1314" t="str">
        <x:v>Hombre</x:v>
      </x:c>
      <x:c r="D1314" t="str">
        <x:v>q) 80 a 84 años</x:v>
      </x:c>
      <x:c r="E1314" s="1" t="n">
        <x:v>0</x:v>
      </x:c>
    </x:row>
    <x:row r="1315">
      <x:c r="A1315" t="str">
        <x:v>MILPA ALTA</x:v>
      </x:c>
      <x:c r="B1315" t="str">
        <x:v>Tuzanco (La Joya)</x:v>
      </x:c>
      <x:c r="C1315" t="str">
        <x:v>Hombre</x:v>
      </x:c>
      <x:c r="D1315" t="str">
        <x:v>r) 85 años y más</x:v>
      </x:c>
      <x:c r="E1315" s="1" t="n">
        <x:v>0</x:v>
      </x:c>
    </x:row>
    <x:row r="1316">
      <x:c r="A1316" t="str">
        <x:v>MILPA ALTA</x:v>
      </x:c>
      <x:c r="B1316" t="str">
        <x:v>Tuzanco (La Joya)</x:v>
      </x:c>
      <x:c r="C1316" t="str">
        <x:v>Mujer</x:v>
      </x:c>
      <x:c r="D1316" t="str">
        <x:v>a) 0 a 4 años</x:v>
      </x:c>
      <x:c r="E1316" s="1" t="n">
        <x:v>18</x:v>
      </x:c>
    </x:row>
    <x:row r="1317">
      <x:c r="A1317" t="str">
        <x:v>MILPA ALTA</x:v>
      </x:c>
      <x:c r="B1317" t="str">
        <x:v>Tuzanco (La Joya)</x:v>
      </x:c>
      <x:c r="C1317" t="str">
        <x:v>Mujer</x:v>
      </x:c>
      <x:c r="D1317" t="str">
        <x:v>b) 5 a 9 años</x:v>
      </x:c>
      <x:c r="E1317" s="1" t="n">
        <x:v>16</x:v>
      </x:c>
    </x:row>
    <x:row r="1318">
      <x:c r="A1318" t="str">
        <x:v>MILPA ALTA</x:v>
      </x:c>
      <x:c r="B1318" t="str">
        <x:v>Tuzanco (La Joya)</x:v>
      </x:c>
      <x:c r="C1318" t="str">
        <x:v>Mujer</x:v>
      </x:c>
      <x:c r="D1318" t="str">
        <x:v>c) 10 a 14 años</x:v>
      </x:c>
      <x:c r="E1318" s="1" t="n">
        <x:v>12</x:v>
      </x:c>
    </x:row>
    <x:row r="1319">
      <x:c r="A1319" t="str">
        <x:v>MILPA ALTA</x:v>
      </x:c>
      <x:c r="B1319" t="str">
        <x:v>Tuzanco (La Joya)</x:v>
      </x:c>
      <x:c r="C1319" t="str">
        <x:v>Mujer</x:v>
      </x:c>
      <x:c r="D1319" t="str">
        <x:v>d) 15 a 19 años</x:v>
      </x:c>
      <x:c r="E1319" s="1" t="n">
        <x:v>16</x:v>
      </x:c>
    </x:row>
    <x:row r="1320">
      <x:c r="A1320" t="str">
        <x:v>MILPA ALTA</x:v>
      </x:c>
      <x:c r="B1320" t="str">
        <x:v>Tuzanco (La Joya)</x:v>
      </x:c>
      <x:c r="C1320" t="str">
        <x:v>Mujer</x:v>
      </x:c>
      <x:c r="D1320" t="str">
        <x:v>e) 20 a 24 años</x:v>
      </x:c>
      <x:c r="E1320" s="1" t="n">
        <x:v>17</x:v>
      </x:c>
    </x:row>
    <x:row r="1321">
      <x:c r="A1321" t="str">
        <x:v>MILPA ALTA</x:v>
      </x:c>
      <x:c r="B1321" t="str">
        <x:v>Tuzanco (La Joya)</x:v>
      </x:c>
      <x:c r="C1321" t="str">
        <x:v>Mujer</x:v>
      </x:c>
      <x:c r="D1321" t="str">
        <x:v>f) 25 a 29 años</x:v>
      </x:c>
      <x:c r="E1321" s="1" t="n">
        <x:v>19</x:v>
      </x:c>
    </x:row>
    <x:row r="1322">
      <x:c r="A1322" t="str">
        <x:v>MILPA ALTA</x:v>
      </x:c>
      <x:c r="B1322" t="str">
        <x:v>Tuzanco (La Joya)</x:v>
      </x:c>
      <x:c r="C1322" t="str">
        <x:v>Mujer</x:v>
      </x:c>
      <x:c r="D1322" t="str">
        <x:v>g) 30 a 34 años</x:v>
      </x:c>
      <x:c r="E1322" s="1" t="n">
        <x:v>18</x:v>
      </x:c>
    </x:row>
    <x:row r="1323">
      <x:c r="A1323" t="str">
        <x:v>MILPA ALTA</x:v>
      </x:c>
      <x:c r="B1323" t="str">
        <x:v>Tuzanco (La Joya)</x:v>
      </x:c>
      <x:c r="C1323" t="str">
        <x:v>Mujer</x:v>
      </x:c>
      <x:c r="D1323" t="str">
        <x:v>h) 35 a 39 años</x:v>
      </x:c>
      <x:c r="E1323" s="1" t="n">
        <x:v>9</x:v>
      </x:c>
    </x:row>
    <x:row r="1324">
      <x:c r="A1324" t="str">
        <x:v>MILPA ALTA</x:v>
      </x:c>
      <x:c r="B1324" t="str">
        <x:v>Tuzanco (La Joya)</x:v>
      </x:c>
      <x:c r="C1324" t="str">
        <x:v>Mujer</x:v>
      </x:c>
      <x:c r="D1324" t="str">
        <x:v>i) 40 a 44 años</x:v>
      </x:c>
      <x:c r="E1324" s="1" t="n">
        <x:v>17</x:v>
      </x:c>
    </x:row>
    <x:row r="1325">
      <x:c r="A1325" t="str">
        <x:v>MILPA ALTA</x:v>
      </x:c>
      <x:c r="B1325" t="str">
        <x:v>Tuzanco (La Joya)</x:v>
      </x:c>
      <x:c r="C1325" t="str">
        <x:v>Mujer</x:v>
      </x:c>
      <x:c r="D1325" t="str">
        <x:v>j) 45 a 49 años</x:v>
      </x:c>
      <x:c r="E1325" s="1" t="n">
        <x:v>13</x:v>
      </x:c>
    </x:row>
    <x:row r="1326">
      <x:c r="A1326" t="str">
        <x:v>MILPA ALTA</x:v>
      </x:c>
      <x:c r="B1326" t="str">
        <x:v>Tuzanco (La Joya)</x:v>
      </x:c>
      <x:c r="C1326" t="str">
        <x:v>Mujer</x:v>
      </x:c>
      <x:c r="D1326" t="str">
        <x:v>k) 50 a 54 años</x:v>
      </x:c>
      <x:c r="E1326" s="1" t="n">
        <x:v>7</x:v>
      </x:c>
    </x:row>
    <x:row r="1327">
      <x:c r="A1327" t="str">
        <x:v>MILPA ALTA</x:v>
      </x:c>
      <x:c r="B1327" t="str">
        <x:v>Tuzanco (La Joya)</x:v>
      </x:c>
      <x:c r="C1327" t="str">
        <x:v>Mujer</x:v>
      </x:c>
      <x:c r="D1327" t="str">
        <x:v>l) 55 a 59 años</x:v>
      </x:c>
      <x:c r="E1327" s="1" t="n">
        <x:v>8</x:v>
      </x:c>
    </x:row>
    <x:row r="1328">
      <x:c r="A1328" t="str">
        <x:v>MILPA ALTA</x:v>
      </x:c>
      <x:c r="B1328" t="str">
        <x:v>Tuzanco (La Joya)</x:v>
      </x:c>
      <x:c r="C1328" t="str">
        <x:v>Mujer</x:v>
      </x:c>
      <x:c r="D1328" t="str">
        <x:v>m) 60 a 64 años</x:v>
      </x:c>
      <x:c r="E1328" s="1" t="n">
        <x:v>3</x:v>
      </x:c>
    </x:row>
    <x:row r="1329">
      <x:c r="A1329" t="str">
        <x:v>MILPA ALTA</x:v>
      </x:c>
      <x:c r="B1329" t="str">
        <x:v>Tuzanco (La Joya)</x:v>
      </x:c>
      <x:c r="C1329" t="str">
        <x:v>Mujer</x:v>
      </x:c>
      <x:c r="D1329" t="str">
        <x:v>n) 65 a 69 años</x:v>
      </x:c>
      <x:c r="E1329" s="1" t="n">
        <x:v>1</x:v>
      </x:c>
    </x:row>
    <x:row r="1330">
      <x:c r="A1330" t="str">
        <x:v>MILPA ALTA</x:v>
      </x:c>
      <x:c r="B1330" t="str">
        <x:v>Tuzanco (La Joya)</x:v>
      </x:c>
      <x:c r="C1330" t="str">
        <x:v>Mujer</x:v>
      </x:c>
      <x:c r="D1330" t="str">
        <x:v>o) 70 a 74 años</x:v>
      </x:c>
      <x:c r="E1330" s="1" t="n">
        <x:v>3</x:v>
      </x:c>
    </x:row>
    <x:row r="1331">
      <x:c r="A1331" t="str">
        <x:v>MILPA ALTA</x:v>
      </x:c>
      <x:c r="B1331" t="str">
        <x:v>Tuzanco (La Joya)</x:v>
      </x:c>
      <x:c r="C1331" t="str">
        <x:v>Mujer</x:v>
      </x:c>
      <x:c r="D1331" t="str">
        <x:v>p) 75 a 79 años</x:v>
      </x:c>
      <x:c r="E1331" s="1" t="n">
        <x:v>2</x:v>
      </x:c>
    </x:row>
    <x:row r="1332">
      <x:c r="A1332" t="str">
        <x:v>MILPA ALTA</x:v>
      </x:c>
      <x:c r="B1332" t="str">
        <x:v>Tuzanco (La Joya)</x:v>
      </x:c>
      <x:c r="C1332" t="str">
        <x:v>Mujer</x:v>
      </x:c>
      <x:c r="D1332" t="str">
        <x:v>q) 80 a 84 años</x:v>
      </x:c>
      <x:c r="E1332" s="1" t="n">
        <x:v>0</x:v>
      </x:c>
    </x:row>
    <x:row r="1333">
      <x:c r="A1333" t="str">
        <x:v>MILPA ALTA</x:v>
      </x:c>
      <x:c r="B1333" t="str">
        <x:v>Tuzanco (La Joya)</x:v>
      </x:c>
      <x:c r="C1333" t="str">
        <x:v>Mujer</x:v>
      </x:c>
      <x:c r="D1333" t="str">
        <x:v>r) 85 años y más</x:v>
      </x:c>
      <x:c r="E1333" s="1" t="n">
        <x:v>0</x:v>
      </x:c>
    </x:row>
    <x:row r="1334">
      <x:c r="A1334" t="str">
        <x:v>MILPA ALTA</x:v>
      </x:c>
      <x:c r="B1334" t="str">
        <x:v>Joyas Parte Alta</x:v>
      </x:c>
      <x:c r="C1334" t="str">
        <x:v>Hombre</x:v>
      </x:c>
      <x:c r="D1334" t="str">
        <x:v>a) 0 a 4 años</x:v>
      </x:c>
      <x:c r="E1334" s="1" t="n">
        <x:v>26</x:v>
      </x:c>
    </x:row>
    <x:row r="1335">
      <x:c r="A1335" t="str">
        <x:v>MILPA ALTA</x:v>
      </x:c>
      <x:c r="B1335" t="str">
        <x:v>Joyas Parte Alta</x:v>
      </x:c>
      <x:c r="C1335" t="str">
        <x:v>Hombre</x:v>
      </x:c>
      <x:c r="D1335" t="str">
        <x:v>b) 5 a 9 años</x:v>
      </x:c>
      <x:c r="E1335" s="1" t="n">
        <x:v>31</x:v>
      </x:c>
    </x:row>
    <x:row r="1336">
      <x:c r="A1336" t="str">
        <x:v>MILPA ALTA</x:v>
      </x:c>
      <x:c r="B1336" t="str">
        <x:v>Joyas Parte Alta</x:v>
      </x:c>
      <x:c r="C1336" t="str">
        <x:v>Hombre</x:v>
      </x:c>
      <x:c r="D1336" t="str">
        <x:v>c) 10 a 14 años</x:v>
      </x:c>
      <x:c r="E1336" s="1" t="n">
        <x:v>35</x:v>
      </x:c>
    </x:row>
    <x:row r="1337">
      <x:c r="A1337" t="str">
        <x:v>MILPA ALTA</x:v>
      </x:c>
      <x:c r="B1337" t="str">
        <x:v>Joyas Parte Alta</x:v>
      </x:c>
      <x:c r="C1337" t="str">
        <x:v>Hombre</x:v>
      </x:c>
      <x:c r="D1337" t="str">
        <x:v>d) 15 a 19 años</x:v>
      </x:c>
      <x:c r="E1337" s="1" t="n">
        <x:v>34</x:v>
      </x:c>
    </x:row>
    <x:row r="1338">
      <x:c r="A1338" t="str">
        <x:v>MILPA ALTA</x:v>
      </x:c>
      <x:c r="B1338" t="str">
        <x:v>Joyas Parte Alta</x:v>
      </x:c>
      <x:c r="C1338" t="str">
        <x:v>Hombre</x:v>
      </x:c>
      <x:c r="D1338" t="str">
        <x:v>e) 20 a 24 años</x:v>
      </x:c>
      <x:c r="E1338" s="1" t="n">
        <x:v>25</x:v>
      </x:c>
    </x:row>
    <x:row r="1339">
      <x:c r="A1339" t="str">
        <x:v>MILPA ALTA</x:v>
      </x:c>
      <x:c r="B1339" t="str">
        <x:v>Joyas Parte Alta</x:v>
      </x:c>
      <x:c r="C1339" t="str">
        <x:v>Hombre</x:v>
      </x:c>
      <x:c r="D1339" t="str">
        <x:v>f) 25 a 29 años</x:v>
      </x:c>
      <x:c r="E1339" s="1" t="n">
        <x:v>29</x:v>
      </x:c>
    </x:row>
    <x:row r="1340">
      <x:c r="A1340" t="str">
        <x:v>MILPA ALTA</x:v>
      </x:c>
      <x:c r="B1340" t="str">
        <x:v>Joyas Parte Alta</x:v>
      </x:c>
      <x:c r="C1340" t="str">
        <x:v>Hombre</x:v>
      </x:c>
      <x:c r="D1340" t="str">
        <x:v>g) 30 a 34 años</x:v>
      </x:c>
      <x:c r="E1340" s="1" t="n">
        <x:v>19</x:v>
      </x:c>
    </x:row>
    <x:row r="1341">
      <x:c r="A1341" t="str">
        <x:v>MILPA ALTA</x:v>
      </x:c>
      <x:c r="B1341" t="str">
        <x:v>Joyas Parte Alta</x:v>
      </x:c>
      <x:c r="C1341" t="str">
        <x:v>Hombre</x:v>
      </x:c>
      <x:c r="D1341" t="str">
        <x:v>h) 35 a 39 años</x:v>
      </x:c>
      <x:c r="E1341" s="1" t="n">
        <x:v>16</x:v>
      </x:c>
    </x:row>
    <x:row r="1342">
      <x:c r="A1342" t="str">
        <x:v>MILPA ALTA</x:v>
      </x:c>
      <x:c r="B1342" t="str">
        <x:v>Joyas Parte Alta</x:v>
      </x:c>
      <x:c r="C1342" t="str">
        <x:v>Hombre</x:v>
      </x:c>
      <x:c r="D1342" t="str">
        <x:v>i) 40 a 44 años</x:v>
      </x:c>
      <x:c r="E1342" s="1" t="n">
        <x:v>20</x:v>
      </x:c>
    </x:row>
    <x:row r="1343">
      <x:c r="A1343" t="str">
        <x:v>MILPA ALTA</x:v>
      </x:c>
      <x:c r="B1343" t="str">
        <x:v>Joyas Parte Alta</x:v>
      </x:c>
      <x:c r="C1343" t="str">
        <x:v>Hombre</x:v>
      </x:c>
      <x:c r="D1343" t="str">
        <x:v>j) 45 a 49 años</x:v>
      </x:c>
      <x:c r="E1343" s="1" t="n">
        <x:v>22</x:v>
      </x:c>
    </x:row>
    <x:row r="1344">
      <x:c r="A1344" t="str">
        <x:v>MILPA ALTA</x:v>
      </x:c>
      <x:c r="B1344" t="str">
        <x:v>Joyas Parte Alta</x:v>
      </x:c>
      <x:c r="C1344" t="str">
        <x:v>Hombre</x:v>
      </x:c>
      <x:c r="D1344" t="str">
        <x:v>k) 50 a 54 años</x:v>
      </x:c>
      <x:c r="E1344" s="1" t="n">
        <x:v>15</x:v>
      </x:c>
    </x:row>
    <x:row r="1345">
      <x:c r="A1345" t="str">
        <x:v>MILPA ALTA</x:v>
      </x:c>
      <x:c r="B1345" t="str">
        <x:v>Joyas Parte Alta</x:v>
      </x:c>
      <x:c r="C1345" t="str">
        <x:v>Hombre</x:v>
      </x:c>
      <x:c r="D1345" t="str">
        <x:v>l) 55 a 59 años</x:v>
      </x:c>
      <x:c r="E1345" s="1" t="n">
        <x:v>13</x:v>
      </x:c>
    </x:row>
    <x:row r="1346">
      <x:c r="A1346" t="str">
        <x:v>MILPA ALTA</x:v>
      </x:c>
      <x:c r="B1346" t="str">
        <x:v>Joyas Parte Alta</x:v>
      </x:c>
      <x:c r="C1346" t="str">
        <x:v>Hombre</x:v>
      </x:c>
      <x:c r="D1346" t="str">
        <x:v>m) 60 a 64 años</x:v>
      </x:c>
      <x:c r="E1346" s="1" t="n">
        <x:v>5</x:v>
      </x:c>
    </x:row>
    <x:row r="1347">
      <x:c r="A1347" t="str">
        <x:v>MILPA ALTA</x:v>
      </x:c>
      <x:c r="B1347" t="str">
        <x:v>Joyas Parte Alta</x:v>
      </x:c>
      <x:c r="C1347" t="str">
        <x:v>Hombre</x:v>
      </x:c>
      <x:c r="D1347" t="str">
        <x:v>n) 65 a 69 años</x:v>
      </x:c>
      <x:c r="E1347" s="1" t="n">
        <x:v>7</x:v>
      </x:c>
    </x:row>
    <x:row r="1348">
      <x:c r="A1348" t="str">
        <x:v>MILPA ALTA</x:v>
      </x:c>
      <x:c r="B1348" t="str">
        <x:v>Joyas Parte Alta</x:v>
      </x:c>
      <x:c r="C1348" t="str">
        <x:v>Hombre</x:v>
      </x:c>
      <x:c r="D1348" t="str">
        <x:v>o) 70 a 74 años</x:v>
      </x:c>
      <x:c r="E1348" s="1" t="n">
        <x:v>2</x:v>
      </x:c>
    </x:row>
    <x:row r="1349">
      <x:c r="A1349" t="str">
        <x:v>MILPA ALTA</x:v>
      </x:c>
      <x:c r="B1349" t="str">
        <x:v>Joyas Parte Alta</x:v>
      </x:c>
      <x:c r="C1349" t="str">
        <x:v>Hombre</x:v>
      </x:c>
      <x:c r="D1349" t="str">
        <x:v>p) 75 a 79 años</x:v>
      </x:c>
      <x:c r="E1349" s="1" t="n">
        <x:v>0</x:v>
      </x:c>
    </x:row>
    <x:row r="1350">
      <x:c r="A1350" t="str">
        <x:v>MILPA ALTA</x:v>
      </x:c>
      <x:c r="B1350" t="str">
        <x:v>Joyas Parte Alta</x:v>
      </x:c>
      <x:c r="C1350" t="str">
        <x:v>Hombre</x:v>
      </x:c>
      <x:c r="D1350" t="str">
        <x:v>q) 80 a 84 años</x:v>
      </x:c>
      <x:c r="E1350" s="1" t="n">
        <x:v>1</x:v>
      </x:c>
    </x:row>
    <x:row r="1351">
      <x:c r="A1351" t="str">
        <x:v>MILPA ALTA</x:v>
      </x:c>
      <x:c r="B1351" t="str">
        <x:v>Joyas Parte Alta</x:v>
      </x:c>
      <x:c r="C1351" t="str">
        <x:v>Hombre</x:v>
      </x:c>
      <x:c r="D1351" t="str">
        <x:v>r) 85 años y más</x:v>
      </x:c>
      <x:c r="E1351" s="1" t="n">
        <x:v>1</x:v>
      </x:c>
    </x:row>
    <x:row r="1352">
      <x:c r="A1352" t="str">
        <x:v>MILPA ALTA</x:v>
      </x:c>
      <x:c r="B1352" t="str">
        <x:v>Joyas Parte Alta</x:v>
      </x:c>
      <x:c r="C1352" t="str">
        <x:v>Mujer</x:v>
      </x:c>
      <x:c r="D1352" t="str">
        <x:v>a) 0 a 4 años</x:v>
      </x:c>
      <x:c r="E1352" s="1" t="n">
        <x:v>30</x:v>
      </x:c>
    </x:row>
    <x:row r="1353">
      <x:c r="A1353" t="str">
        <x:v>MILPA ALTA</x:v>
      </x:c>
      <x:c r="B1353" t="str">
        <x:v>Joyas Parte Alta</x:v>
      </x:c>
      <x:c r="C1353" t="str">
        <x:v>Mujer</x:v>
      </x:c>
      <x:c r="D1353" t="str">
        <x:v>b) 5 a 9 años</x:v>
      </x:c>
      <x:c r="E1353" s="1" t="n">
        <x:v>15</x:v>
      </x:c>
    </x:row>
    <x:row r="1354">
      <x:c r="A1354" t="str">
        <x:v>MILPA ALTA</x:v>
      </x:c>
      <x:c r="B1354" t="str">
        <x:v>Joyas Parte Alta</x:v>
      </x:c>
      <x:c r="C1354" t="str">
        <x:v>Mujer</x:v>
      </x:c>
      <x:c r="D1354" t="str">
        <x:v>c) 10 a 14 años</x:v>
      </x:c>
      <x:c r="E1354" s="1" t="n">
        <x:v>22</x:v>
      </x:c>
    </x:row>
    <x:row r="1355">
      <x:c r="A1355" t="str">
        <x:v>MILPA ALTA</x:v>
      </x:c>
      <x:c r="B1355" t="str">
        <x:v>Joyas Parte Alta</x:v>
      </x:c>
      <x:c r="C1355" t="str">
        <x:v>Mujer</x:v>
      </x:c>
      <x:c r="D1355" t="str">
        <x:v>d) 15 a 19 años</x:v>
      </x:c>
      <x:c r="E1355" s="1" t="n">
        <x:v>31</x:v>
      </x:c>
    </x:row>
    <x:row r="1356">
      <x:c r="A1356" t="str">
        <x:v>MILPA ALTA</x:v>
      </x:c>
      <x:c r="B1356" t="str">
        <x:v>Joyas Parte Alta</x:v>
      </x:c>
      <x:c r="C1356" t="str">
        <x:v>Mujer</x:v>
      </x:c>
      <x:c r="D1356" t="str">
        <x:v>e) 20 a 24 años</x:v>
      </x:c>
      <x:c r="E1356" s="1" t="n">
        <x:v>34</x:v>
      </x:c>
    </x:row>
    <x:row r="1357">
      <x:c r="A1357" t="str">
        <x:v>MILPA ALTA</x:v>
      </x:c>
      <x:c r="B1357" t="str">
        <x:v>Joyas Parte Alta</x:v>
      </x:c>
      <x:c r="C1357" t="str">
        <x:v>Mujer</x:v>
      </x:c>
      <x:c r="D1357" t="str">
        <x:v>f) 25 a 29 años</x:v>
      </x:c>
      <x:c r="E1357" s="1" t="n">
        <x:v>29</x:v>
      </x:c>
    </x:row>
    <x:row r="1358">
      <x:c r="A1358" t="str">
        <x:v>MILPA ALTA</x:v>
      </x:c>
      <x:c r="B1358" t="str">
        <x:v>Joyas Parte Alta</x:v>
      </x:c>
      <x:c r="C1358" t="str">
        <x:v>Mujer</x:v>
      </x:c>
      <x:c r="D1358" t="str">
        <x:v>g) 30 a 34 años</x:v>
      </x:c>
      <x:c r="E1358" s="1" t="n">
        <x:v>22</x:v>
      </x:c>
    </x:row>
    <x:row r="1359">
      <x:c r="A1359" t="str">
        <x:v>MILPA ALTA</x:v>
      </x:c>
      <x:c r="B1359" t="str">
        <x:v>Joyas Parte Alta</x:v>
      </x:c>
      <x:c r="C1359" t="str">
        <x:v>Mujer</x:v>
      </x:c>
      <x:c r="D1359" t="str">
        <x:v>h) 35 a 39 años</x:v>
      </x:c>
      <x:c r="E1359" s="1" t="n">
        <x:v>23</x:v>
      </x:c>
    </x:row>
    <x:row r="1360">
      <x:c r="A1360" t="str">
        <x:v>MILPA ALTA</x:v>
      </x:c>
      <x:c r="B1360" t="str">
        <x:v>Joyas Parte Alta</x:v>
      </x:c>
      <x:c r="C1360" t="str">
        <x:v>Mujer</x:v>
      </x:c>
      <x:c r="D1360" t="str">
        <x:v>i) 40 a 44 años</x:v>
      </x:c>
      <x:c r="E1360" s="1" t="n">
        <x:v>18</x:v>
      </x:c>
    </x:row>
    <x:row r="1361">
      <x:c r="A1361" t="str">
        <x:v>MILPA ALTA</x:v>
      </x:c>
      <x:c r="B1361" t="str">
        <x:v>Joyas Parte Alta</x:v>
      </x:c>
      <x:c r="C1361" t="str">
        <x:v>Mujer</x:v>
      </x:c>
      <x:c r="D1361" t="str">
        <x:v>j) 45 a 49 años</x:v>
      </x:c>
      <x:c r="E1361" s="1" t="n">
        <x:v>23</x:v>
      </x:c>
    </x:row>
    <x:row r="1362">
      <x:c r="A1362" t="str">
        <x:v>MILPA ALTA</x:v>
      </x:c>
      <x:c r="B1362" t="str">
        <x:v>Joyas Parte Alta</x:v>
      </x:c>
      <x:c r="C1362" t="str">
        <x:v>Mujer</x:v>
      </x:c>
      <x:c r="D1362" t="str">
        <x:v>k) 50 a 54 años</x:v>
      </x:c>
      <x:c r="E1362" s="1" t="n">
        <x:v>15</x:v>
      </x:c>
    </x:row>
    <x:row r="1363">
      <x:c r="A1363" t="str">
        <x:v>MILPA ALTA</x:v>
      </x:c>
      <x:c r="B1363" t="str">
        <x:v>Joyas Parte Alta</x:v>
      </x:c>
      <x:c r="C1363" t="str">
        <x:v>Mujer</x:v>
      </x:c>
      <x:c r="D1363" t="str">
        <x:v>l) 55 a 59 años</x:v>
      </x:c>
      <x:c r="E1363" s="1" t="n">
        <x:v>12</x:v>
      </x:c>
    </x:row>
    <x:row r="1364">
      <x:c r="A1364" t="str">
        <x:v>MILPA ALTA</x:v>
      </x:c>
      <x:c r="B1364" t="str">
        <x:v>Joyas Parte Alta</x:v>
      </x:c>
      <x:c r="C1364" t="str">
        <x:v>Mujer</x:v>
      </x:c>
      <x:c r="D1364" t="str">
        <x:v>m) 60 a 64 años</x:v>
      </x:c>
      <x:c r="E1364" s="1" t="n">
        <x:v>6</x:v>
      </x:c>
    </x:row>
    <x:row r="1365">
      <x:c r="A1365" t="str">
        <x:v>MILPA ALTA</x:v>
      </x:c>
      <x:c r="B1365" t="str">
        <x:v>Joyas Parte Alta</x:v>
      </x:c>
      <x:c r="C1365" t="str">
        <x:v>Mujer</x:v>
      </x:c>
      <x:c r="D1365" t="str">
        <x:v>n) 65 a 69 años</x:v>
      </x:c>
      <x:c r="E1365" s="1" t="n">
        <x:v>5</x:v>
      </x:c>
    </x:row>
    <x:row r="1366">
      <x:c r="A1366" t="str">
        <x:v>MILPA ALTA</x:v>
      </x:c>
      <x:c r="B1366" t="str">
        <x:v>Joyas Parte Alta</x:v>
      </x:c>
      <x:c r="C1366" t="str">
        <x:v>Mujer</x:v>
      </x:c>
      <x:c r="D1366" t="str">
        <x:v>o) 70 a 74 años</x:v>
      </x:c>
      <x:c r="E1366" s="1" t="n">
        <x:v>2</x:v>
      </x:c>
    </x:row>
    <x:row r="1367">
      <x:c r="A1367" t="str">
        <x:v>MILPA ALTA</x:v>
      </x:c>
      <x:c r="B1367" t="str">
        <x:v>Joyas Parte Alta</x:v>
      </x:c>
      <x:c r="C1367" t="str">
        <x:v>Mujer</x:v>
      </x:c>
      <x:c r="D1367" t="str">
        <x:v>p) 75 a 79 años</x:v>
      </x:c>
      <x:c r="E1367" s="1" t="n">
        <x:v>1</x:v>
      </x:c>
    </x:row>
    <x:row r="1368">
      <x:c r="A1368" t="str">
        <x:v>MILPA ALTA</x:v>
      </x:c>
      <x:c r="B1368" t="str">
        <x:v>Joyas Parte Alta</x:v>
      </x:c>
      <x:c r="C1368" t="str">
        <x:v>Mujer</x:v>
      </x:c>
      <x:c r="D1368" t="str">
        <x:v>q) 80 a 84 años</x:v>
      </x:c>
      <x:c r="E1368" s="1" t="n">
        <x:v>0</x:v>
      </x:c>
    </x:row>
    <x:row r="1369">
      <x:c r="A1369" t="str">
        <x:v>MILPA ALTA</x:v>
      </x:c>
      <x:c r="B1369" t="str">
        <x:v>Joyas Parte Alta</x:v>
      </x:c>
      <x:c r="C1369" t="str">
        <x:v>Mujer</x:v>
      </x:c>
      <x:c r="D1369" t="str">
        <x:v>r) 85 años y más</x:v>
      </x:c>
      <x:c r="E1369" s="1" t="n">
        <x:v>2</x:v>
      </x:c>
    </x:row>
    <x:row r="1370">
      <x:c r="A1370" t="str">
        <x:v>MILPA ALTA</x:v>
      </x:c>
      <x:c r="B1370" t="str">
        <x:v>San Antonio Cuilotepec</x:v>
      </x:c>
      <x:c r="C1370" t="str">
        <x:v>Hombre</x:v>
      </x:c>
      <x:c r="D1370" t="str">
        <x:v>a) 0 a 4 años</x:v>
      </x:c>
      <x:c r="E1370" s="1" t="n">
        <x:v>13</x:v>
      </x:c>
    </x:row>
    <x:row r="1371">
      <x:c r="A1371" t="str">
        <x:v>MILPA ALTA</x:v>
      </x:c>
      <x:c r="B1371" t="str">
        <x:v>San Antonio Cuilotepec</x:v>
      </x:c>
      <x:c r="C1371" t="str">
        <x:v>Hombre</x:v>
      </x:c>
      <x:c r="D1371" t="str">
        <x:v>b) 5 a 9 años</x:v>
      </x:c>
      <x:c r="E1371" s="1" t="n">
        <x:v>19</x:v>
      </x:c>
    </x:row>
    <x:row r="1372">
      <x:c r="A1372" t="str">
        <x:v>MILPA ALTA</x:v>
      </x:c>
      <x:c r="B1372" t="str">
        <x:v>San Antonio Cuilotepec</x:v>
      </x:c>
      <x:c r="C1372" t="str">
        <x:v>Hombre</x:v>
      </x:c>
      <x:c r="D1372" t="str">
        <x:v>c) 10 a 14 años</x:v>
      </x:c>
      <x:c r="E1372" s="1" t="n">
        <x:v>17</x:v>
      </x:c>
    </x:row>
    <x:row r="1373">
      <x:c r="A1373" t="str">
        <x:v>MILPA ALTA</x:v>
      </x:c>
      <x:c r="B1373" t="str">
        <x:v>San Antonio Cuilotepec</x:v>
      </x:c>
      <x:c r="C1373" t="str">
        <x:v>Hombre</x:v>
      </x:c>
      <x:c r="D1373" t="str">
        <x:v>d) 15 a 19 años</x:v>
      </x:c>
      <x:c r="E1373" s="1" t="n">
        <x:v>24</x:v>
      </x:c>
    </x:row>
    <x:row r="1374">
      <x:c r="A1374" t="str">
        <x:v>MILPA ALTA</x:v>
      </x:c>
      <x:c r="B1374" t="str">
        <x:v>San Antonio Cuilotepec</x:v>
      </x:c>
      <x:c r="C1374" t="str">
        <x:v>Hombre</x:v>
      </x:c>
      <x:c r="D1374" t="str">
        <x:v>e) 20 a 24 años</x:v>
      </x:c>
      <x:c r="E1374" s="1" t="n">
        <x:v>20</x:v>
      </x:c>
    </x:row>
    <x:row r="1375">
      <x:c r="A1375" t="str">
        <x:v>MILPA ALTA</x:v>
      </x:c>
      <x:c r="B1375" t="str">
        <x:v>San Antonio Cuilotepec</x:v>
      </x:c>
      <x:c r="C1375" t="str">
        <x:v>Hombre</x:v>
      </x:c>
      <x:c r="D1375" t="str">
        <x:v>f) 25 a 29 años</x:v>
      </x:c>
      <x:c r="E1375" s="1" t="n">
        <x:v>18</x:v>
      </x:c>
    </x:row>
    <x:row r="1376">
      <x:c r="A1376" t="str">
        <x:v>MILPA ALTA</x:v>
      </x:c>
      <x:c r="B1376" t="str">
        <x:v>San Antonio Cuilotepec</x:v>
      </x:c>
      <x:c r="C1376" t="str">
        <x:v>Hombre</x:v>
      </x:c>
      <x:c r="D1376" t="str">
        <x:v>g) 30 a 34 años</x:v>
      </x:c>
      <x:c r="E1376" s="1" t="n">
        <x:v>17</x:v>
      </x:c>
    </x:row>
    <x:row r="1377">
      <x:c r="A1377" t="str">
        <x:v>MILPA ALTA</x:v>
      </x:c>
      <x:c r="B1377" t="str">
        <x:v>San Antonio Cuilotepec</x:v>
      </x:c>
      <x:c r="C1377" t="str">
        <x:v>Hombre</x:v>
      </x:c>
      <x:c r="D1377" t="str">
        <x:v>h) 35 a 39 años</x:v>
      </x:c>
      <x:c r="E1377" s="1" t="n">
        <x:v>10</x:v>
      </x:c>
    </x:row>
    <x:row r="1378">
      <x:c r="A1378" t="str">
        <x:v>MILPA ALTA</x:v>
      </x:c>
      <x:c r="B1378" t="str">
        <x:v>San Antonio Cuilotepec</x:v>
      </x:c>
      <x:c r="C1378" t="str">
        <x:v>Hombre</x:v>
      </x:c>
      <x:c r="D1378" t="str">
        <x:v>i) 40 a 44 años</x:v>
      </x:c>
      <x:c r="E1378" s="1" t="n">
        <x:v>18</x:v>
      </x:c>
    </x:row>
    <x:row r="1379">
      <x:c r="A1379" t="str">
        <x:v>MILPA ALTA</x:v>
      </x:c>
      <x:c r="B1379" t="str">
        <x:v>San Antonio Cuilotepec</x:v>
      </x:c>
      <x:c r="C1379" t="str">
        <x:v>Hombre</x:v>
      </x:c>
      <x:c r="D1379" t="str">
        <x:v>j) 45 a 49 años</x:v>
      </x:c>
      <x:c r="E1379" s="1" t="n">
        <x:v>9</x:v>
      </x:c>
    </x:row>
    <x:row r="1380">
      <x:c r="A1380" t="str">
        <x:v>MILPA ALTA</x:v>
      </x:c>
      <x:c r="B1380" t="str">
        <x:v>San Antonio Cuilotepec</x:v>
      </x:c>
      <x:c r="C1380" t="str">
        <x:v>Hombre</x:v>
      </x:c>
      <x:c r="D1380" t="str">
        <x:v>k) 50 a 54 años</x:v>
      </x:c>
      <x:c r="E1380" s="1" t="n">
        <x:v>11</x:v>
      </x:c>
    </x:row>
    <x:row r="1381">
      <x:c r="A1381" t="str">
        <x:v>MILPA ALTA</x:v>
      </x:c>
      <x:c r="B1381" t="str">
        <x:v>San Antonio Cuilotepec</x:v>
      </x:c>
      <x:c r="C1381" t="str">
        <x:v>Hombre</x:v>
      </x:c>
      <x:c r="D1381" t="str">
        <x:v>l) 55 a 59 años</x:v>
      </x:c>
      <x:c r="E1381" s="1" t="n">
        <x:v>6</x:v>
      </x:c>
    </x:row>
    <x:row r="1382">
      <x:c r="A1382" t="str">
        <x:v>MILPA ALTA</x:v>
      </x:c>
      <x:c r="B1382" t="str">
        <x:v>San Antonio Cuilotepec</x:v>
      </x:c>
      <x:c r="C1382" t="str">
        <x:v>Hombre</x:v>
      </x:c>
      <x:c r="D1382" t="str">
        <x:v>m) 60 a 64 años</x:v>
      </x:c>
      <x:c r="E1382" s="1" t="n">
        <x:v>2</x:v>
      </x:c>
    </x:row>
    <x:row r="1383">
      <x:c r="A1383" t="str">
        <x:v>MILPA ALTA</x:v>
      </x:c>
      <x:c r="B1383" t="str">
        <x:v>San Antonio Cuilotepec</x:v>
      </x:c>
      <x:c r="C1383" t="str">
        <x:v>Hombre</x:v>
      </x:c>
      <x:c r="D1383" t="str">
        <x:v>n) 65 a 69 años</x:v>
      </x:c>
      <x:c r="E1383" s="1" t="n">
        <x:v>2</x:v>
      </x:c>
    </x:row>
    <x:row r="1384">
      <x:c r="A1384" t="str">
        <x:v>MILPA ALTA</x:v>
      </x:c>
      <x:c r="B1384" t="str">
        <x:v>San Antonio Cuilotepec</x:v>
      </x:c>
      <x:c r="C1384" t="str">
        <x:v>Hombre</x:v>
      </x:c>
      <x:c r="D1384" t="str">
        <x:v>o) 70 a 74 años</x:v>
      </x:c>
      <x:c r="E1384" s="1" t="n">
        <x:v>4</x:v>
      </x:c>
    </x:row>
    <x:row r="1385">
      <x:c r="A1385" t="str">
        <x:v>MILPA ALTA</x:v>
      </x:c>
      <x:c r="B1385" t="str">
        <x:v>San Antonio Cuilotepec</x:v>
      </x:c>
      <x:c r="C1385" t="str">
        <x:v>Hombre</x:v>
      </x:c>
      <x:c r="D1385" t="str">
        <x:v>p) 75 a 79 años</x:v>
      </x:c>
      <x:c r="E1385" s="1" t="n">
        <x:v>1</x:v>
      </x:c>
    </x:row>
    <x:row r="1386">
      <x:c r="A1386" t="str">
        <x:v>MILPA ALTA</x:v>
      </x:c>
      <x:c r="B1386" t="str">
        <x:v>San Antonio Cuilotepec</x:v>
      </x:c>
      <x:c r="C1386" t="str">
        <x:v>Hombre</x:v>
      </x:c>
      <x:c r="D1386" t="str">
        <x:v>q) 80 a 84 años</x:v>
      </x:c>
      <x:c r="E1386" s="1" t="n">
        <x:v>0</x:v>
      </x:c>
    </x:row>
    <x:row r="1387">
      <x:c r="A1387" t="str">
        <x:v>MILPA ALTA</x:v>
      </x:c>
      <x:c r="B1387" t="str">
        <x:v>San Antonio Cuilotepec</x:v>
      </x:c>
      <x:c r="C1387" t="str">
        <x:v>Hombre</x:v>
      </x:c>
      <x:c r="D1387" t="str">
        <x:v>r) 85 años y más</x:v>
      </x:c>
      <x:c r="E1387" s="1" t="n">
        <x:v>0</x:v>
      </x:c>
    </x:row>
    <x:row r="1388">
      <x:c r="A1388" t="str">
        <x:v>MILPA ALTA</x:v>
      </x:c>
      <x:c r="B1388" t="str">
        <x:v>San Antonio Cuilotepec</x:v>
      </x:c>
      <x:c r="C1388" t="str">
        <x:v>Mujer</x:v>
      </x:c>
      <x:c r="D1388" t="str">
        <x:v>a) 0 a 4 años</x:v>
      </x:c>
      <x:c r="E1388" s="1" t="n">
        <x:v>13</x:v>
      </x:c>
    </x:row>
    <x:row r="1389">
      <x:c r="A1389" t="str">
        <x:v>MILPA ALTA</x:v>
      </x:c>
      <x:c r="B1389" t="str">
        <x:v>San Antonio Cuilotepec</x:v>
      </x:c>
      <x:c r="C1389" t="str">
        <x:v>Mujer</x:v>
      </x:c>
      <x:c r="D1389" t="str">
        <x:v>b) 5 a 9 años</x:v>
      </x:c>
      <x:c r="E1389" s="1" t="n">
        <x:v>20</x:v>
      </x:c>
    </x:row>
    <x:row r="1390">
      <x:c r="A1390" t="str">
        <x:v>MILPA ALTA</x:v>
      </x:c>
      <x:c r="B1390" t="str">
        <x:v>San Antonio Cuilotepec</x:v>
      </x:c>
      <x:c r="C1390" t="str">
        <x:v>Mujer</x:v>
      </x:c>
      <x:c r="D1390" t="str">
        <x:v>c) 10 a 14 años</x:v>
      </x:c>
      <x:c r="E1390" s="1" t="n">
        <x:v>26</x:v>
      </x:c>
    </x:row>
    <x:row r="1391">
      <x:c r="A1391" t="str">
        <x:v>MILPA ALTA</x:v>
      </x:c>
      <x:c r="B1391" t="str">
        <x:v>San Antonio Cuilotepec</x:v>
      </x:c>
      <x:c r="C1391" t="str">
        <x:v>Mujer</x:v>
      </x:c>
      <x:c r="D1391" t="str">
        <x:v>d) 15 a 19 años</x:v>
      </x:c>
      <x:c r="E1391" s="1" t="n">
        <x:v>16</x:v>
      </x:c>
    </x:row>
    <x:row r="1392">
      <x:c r="A1392" t="str">
        <x:v>MILPA ALTA</x:v>
      </x:c>
      <x:c r="B1392" t="str">
        <x:v>San Antonio Cuilotepec</x:v>
      </x:c>
      <x:c r="C1392" t="str">
        <x:v>Mujer</x:v>
      </x:c>
      <x:c r="D1392" t="str">
        <x:v>e) 20 a 24 años</x:v>
      </x:c>
      <x:c r="E1392" s="1" t="n">
        <x:v>21</x:v>
      </x:c>
    </x:row>
    <x:row r="1393">
      <x:c r="A1393" t="str">
        <x:v>MILPA ALTA</x:v>
      </x:c>
      <x:c r="B1393" t="str">
        <x:v>San Antonio Cuilotepec</x:v>
      </x:c>
      <x:c r="C1393" t="str">
        <x:v>Mujer</x:v>
      </x:c>
      <x:c r="D1393" t="str">
        <x:v>f) 25 a 29 años</x:v>
      </x:c>
      <x:c r="E1393" s="1" t="n">
        <x:v>18</x:v>
      </x:c>
    </x:row>
    <x:row r="1394">
      <x:c r="A1394" t="str">
        <x:v>MILPA ALTA</x:v>
      </x:c>
      <x:c r="B1394" t="str">
        <x:v>San Antonio Cuilotepec</x:v>
      </x:c>
      <x:c r="C1394" t="str">
        <x:v>Mujer</x:v>
      </x:c>
      <x:c r="D1394" t="str">
        <x:v>g) 30 a 34 años</x:v>
      </x:c>
      <x:c r="E1394" s="1" t="n">
        <x:v>16</x:v>
      </x:c>
    </x:row>
    <x:row r="1395">
      <x:c r="A1395" t="str">
        <x:v>MILPA ALTA</x:v>
      </x:c>
      <x:c r="B1395" t="str">
        <x:v>San Antonio Cuilotepec</x:v>
      </x:c>
      <x:c r="C1395" t="str">
        <x:v>Mujer</x:v>
      </x:c>
      <x:c r="D1395" t="str">
        <x:v>h) 35 a 39 años</x:v>
      </x:c>
      <x:c r="E1395" s="1" t="n">
        <x:v>17</x:v>
      </x:c>
    </x:row>
    <x:row r="1396">
      <x:c r="A1396" t="str">
        <x:v>MILPA ALTA</x:v>
      </x:c>
      <x:c r="B1396" t="str">
        <x:v>San Antonio Cuilotepec</x:v>
      </x:c>
      <x:c r="C1396" t="str">
        <x:v>Mujer</x:v>
      </x:c>
      <x:c r="D1396" t="str">
        <x:v>i) 40 a 44 años</x:v>
      </x:c>
      <x:c r="E1396" s="1" t="n">
        <x:v>12</x:v>
      </x:c>
    </x:row>
    <x:row r="1397">
      <x:c r="A1397" t="str">
        <x:v>MILPA ALTA</x:v>
      </x:c>
      <x:c r="B1397" t="str">
        <x:v>San Antonio Cuilotepec</x:v>
      </x:c>
      <x:c r="C1397" t="str">
        <x:v>Mujer</x:v>
      </x:c>
      <x:c r="D1397" t="str">
        <x:v>j) 45 a 49 años</x:v>
      </x:c>
      <x:c r="E1397" s="1" t="n">
        <x:v>11</x:v>
      </x:c>
    </x:row>
    <x:row r="1398">
      <x:c r="A1398" t="str">
        <x:v>MILPA ALTA</x:v>
      </x:c>
      <x:c r="B1398" t="str">
        <x:v>San Antonio Cuilotepec</x:v>
      </x:c>
      <x:c r="C1398" t="str">
        <x:v>Mujer</x:v>
      </x:c>
      <x:c r="D1398" t="str">
        <x:v>k) 50 a 54 años</x:v>
      </x:c>
      <x:c r="E1398" s="1" t="n">
        <x:v>11</x:v>
      </x:c>
    </x:row>
    <x:row r="1399">
      <x:c r="A1399" t="str">
        <x:v>MILPA ALTA</x:v>
      </x:c>
      <x:c r="B1399" t="str">
        <x:v>San Antonio Cuilotepec</x:v>
      </x:c>
      <x:c r="C1399" t="str">
        <x:v>Mujer</x:v>
      </x:c>
      <x:c r="D1399" t="str">
        <x:v>l) 55 a 59 años</x:v>
      </x:c>
      <x:c r="E1399" s="1" t="n">
        <x:v>9</x:v>
      </x:c>
    </x:row>
    <x:row r="1400">
      <x:c r="A1400" t="str">
        <x:v>MILPA ALTA</x:v>
      </x:c>
      <x:c r="B1400" t="str">
        <x:v>San Antonio Cuilotepec</x:v>
      </x:c>
      <x:c r="C1400" t="str">
        <x:v>Mujer</x:v>
      </x:c>
      <x:c r="D1400" t="str">
        <x:v>m) 60 a 64 años</x:v>
      </x:c>
      <x:c r="E1400" s="1" t="n">
        <x:v>5</x:v>
      </x:c>
    </x:row>
    <x:row r="1401">
      <x:c r="A1401" t="str">
        <x:v>MILPA ALTA</x:v>
      </x:c>
      <x:c r="B1401" t="str">
        <x:v>San Antonio Cuilotepec</x:v>
      </x:c>
      <x:c r="C1401" t="str">
        <x:v>Mujer</x:v>
      </x:c>
      <x:c r="D1401" t="str">
        <x:v>n) 65 a 69 años</x:v>
      </x:c>
      <x:c r="E1401" s="1" t="n">
        <x:v>2</x:v>
      </x:c>
    </x:row>
    <x:row r="1402">
      <x:c r="A1402" t="str">
        <x:v>MILPA ALTA</x:v>
      </x:c>
      <x:c r="B1402" t="str">
        <x:v>San Antonio Cuilotepec</x:v>
      </x:c>
      <x:c r="C1402" t="str">
        <x:v>Mujer</x:v>
      </x:c>
      <x:c r="D1402" t="str">
        <x:v>o) 70 a 74 años</x:v>
      </x:c>
      <x:c r="E1402" s="1" t="n">
        <x:v>0</x:v>
      </x:c>
    </x:row>
    <x:row r="1403">
      <x:c r="A1403" t="str">
        <x:v>MILPA ALTA</x:v>
      </x:c>
      <x:c r="B1403" t="str">
        <x:v>San Antonio Cuilotepec</x:v>
      </x:c>
      <x:c r="C1403" t="str">
        <x:v>Mujer</x:v>
      </x:c>
      <x:c r="D1403" t="str">
        <x:v>p) 75 a 79 años</x:v>
      </x:c>
      <x:c r="E1403" s="1" t="n">
        <x:v>0</x:v>
      </x:c>
    </x:row>
    <x:row r="1404">
      <x:c r="A1404" t="str">
        <x:v>MILPA ALTA</x:v>
      </x:c>
      <x:c r="B1404" t="str">
        <x:v>San Antonio Cuilotepec</x:v>
      </x:c>
      <x:c r="C1404" t="str">
        <x:v>Mujer</x:v>
      </x:c>
      <x:c r="D1404" t="str">
        <x:v>q) 80 a 84 años</x:v>
      </x:c>
      <x:c r="E1404" s="1" t="n">
        <x:v>1</x:v>
      </x:c>
    </x:row>
    <x:row r="1405">
      <x:c r="A1405" t="str">
        <x:v>MILPA ALTA</x:v>
      </x:c>
      <x:c r="B1405" t="str">
        <x:v>San Antonio Cuilotepec</x:v>
      </x:c>
      <x:c r="C1405" t="str">
        <x:v>Mujer</x:v>
      </x:c>
      <x:c r="D1405" t="str">
        <x:v>r) 85 años y más</x:v>
      </x:c>
      <x:c r="E1405" s="1" t="n">
        <x:v>1</x:v>
      </x:c>
    </x:row>
    <x:row r="1406">
      <x:c r="A1406" t="str">
        <x:v>MILPA ALTA</x:v>
      </x:c>
      <x:c r="B1406" t="str">
        <x:v>San Nicolás Tetelco</x:v>
      </x:c>
      <x:c r="C1406" t="str">
        <x:v>Hombre</x:v>
      </x:c>
      <x:c r="D1406" t="str">
        <x:v>a) 0 a 4 años</x:v>
      </x:c>
      <x:c r="E1406" s="1" t="n">
        <x:v>164</x:v>
      </x:c>
    </x:row>
    <x:row r="1407">
      <x:c r="A1407" t="str">
        <x:v>MILPA ALTA</x:v>
      </x:c>
      <x:c r="B1407" t="str">
        <x:v>San Nicolás Tetelco</x:v>
      </x:c>
      <x:c r="C1407" t="str">
        <x:v>Hombre</x:v>
      </x:c>
      <x:c r="D1407" t="str">
        <x:v>b) 5 a 9 años</x:v>
      </x:c>
      <x:c r="E1407" s="1" t="n">
        <x:v>177</x:v>
      </x:c>
    </x:row>
    <x:row r="1408">
      <x:c r="A1408" t="str">
        <x:v>MILPA ALTA</x:v>
      </x:c>
      <x:c r="B1408" t="str">
        <x:v>San Nicolás Tetelco</x:v>
      </x:c>
      <x:c r="C1408" t="str">
        <x:v>Hombre</x:v>
      </x:c>
      <x:c r="D1408" t="str">
        <x:v>c) 10 a 14 años</x:v>
      </x:c>
      <x:c r="E1408" s="1" t="n">
        <x:v>221</x:v>
      </x:c>
    </x:row>
    <x:row r="1409">
      <x:c r="A1409" t="str">
        <x:v>MILPA ALTA</x:v>
      </x:c>
      <x:c r="B1409" t="str">
        <x:v>San Nicolás Tetelco</x:v>
      </x:c>
      <x:c r="C1409" t="str">
        <x:v>Hombre</x:v>
      </x:c>
      <x:c r="D1409" t="str">
        <x:v>d) 15 a 19 años</x:v>
      </x:c>
      <x:c r="E1409" s="1" t="n">
        <x:v>179</x:v>
      </x:c>
    </x:row>
    <x:row r="1410">
      <x:c r="A1410" t="str">
        <x:v>MILPA ALTA</x:v>
      </x:c>
      <x:c r="B1410" t="str">
        <x:v>San Nicolás Tetelco</x:v>
      </x:c>
      <x:c r="C1410" t="str">
        <x:v>Hombre</x:v>
      </x:c>
      <x:c r="D1410" t="str">
        <x:v>e) 20 a 24 años</x:v>
      </x:c>
      <x:c r="E1410" s="1" t="n">
        <x:v>172</x:v>
      </x:c>
    </x:row>
    <x:row r="1411">
      <x:c r="A1411" t="str">
        <x:v>MILPA ALTA</x:v>
      </x:c>
      <x:c r="B1411" t="str">
        <x:v>San Nicolás Tetelco</x:v>
      </x:c>
      <x:c r="C1411" t="str">
        <x:v>Hombre</x:v>
      </x:c>
      <x:c r="D1411" t="str">
        <x:v>f) 25 a 29 años</x:v>
      </x:c>
      <x:c r="E1411" s="1" t="n">
        <x:v>177</x:v>
      </x:c>
    </x:row>
    <x:row r="1412">
      <x:c r="A1412" t="str">
        <x:v>MILPA ALTA</x:v>
      </x:c>
      <x:c r="B1412" t="str">
        <x:v>San Nicolás Tetelco</x:v>
      </x:c>
      <x:c r="C1412" t="str">
        <x:v>Hombre</x:v>
      </x:c>
      <x:c r="D1412" t="str">
        <x:v>g) 30 a 34 años</x:v>
      </x:c>
      <x:c r="E1412" s="1" t="n">
        <x:v>154</x:v>
      </x:c>
    </x:row>
    <x:row r="1413">
      <x:c r="A1413" t="str">
        <x:v>MILPA ALTA</x:v>
      </x:c>
      <x:c r="B1413" t="str">
        <x:v>San Nicolás Tetelco</x:v>
      </x:c>
      <x:c r="C1413" t="str">
        <x:v>Hombre</x:v>
      </x:c>
      <x:c r="D1413" t="str">
        <x:v>h) 35 a 39 años</x:v>
      </x:c>
      <x:c r="E1413" s="1" t="n">
        <x:v>146</x:v>
      </x:c>
    </x:row>
    <x:row r="1414">
      <x:c r="A1414" t="str">
        <x:v>MILPA ALTA</x:v>
      </x:c>
      <x:c r="B1414" t="str">
        <x:v>San Nicolás Tetelco</x:v>
      </x:c>
      <x:c r="C1414" t="str">
        <x:v>Hombre</x:v>
      </x:c>
      <x:c r="D1414" t="str">
        <x:v>i) 40 a 44 años</x:v>
      </x:c>
      <x:c r="E1414" s="1" t="n">
        <x:v>119</x:v>
      </x:c>
    </x:row>
    <x:row r="1415">
      <x:c r="A1415" t="str">
        <x:v>MILPA ALTA</x:v>
      </x:c>
      <x:c r="B1415" t="str">
        <x:v>San Nicolás Tetelco</x:v>
      </x:c>
      <x:c r="C1415" t="str">
        <x:v>Hombre</x:v>
      </x:c>
      <x:c r="D1415" t="str">
        <x:v>j) 45 a 49 años</x:v>
      </x:c>
      <x:c r="E1415" s="1" t="n">
        <x:v>134</x:v>
      </x:c>
    </x:row>
    <x:row r="1416">
      <x:c r="A1416" t="str">
        <x:v>MILPA ALTA</x:v>
      </x:c>
      <x:c r="B1416" t="str">
        <x:v>San Nicolás Tetelco</x:v>
      </x:c>
      <x:c r="C1416" t="str">
        <x:v>Hombre</x:v>
      </x:c>
      <x:c r="D1416" t="str">
        <x:v>k) 50 a 54 años</x:v>
      </x:c>
      <x:c r="E1416" s="1" t="n">
        <x:v>108</x:v>
      </x:c>
    </x:row>
    <x:row r="1417">
      <x:c r="A1417" t="str">
        <x:v>MILPA ALTA</x:v>
      </x:c>
      <x:c r="B1417" t="str">
        <x:v>San Nicolás Tetelco</x:v>
      </x:c>
      <x:c r="C1417" t="str">
        <x:v>Hombre</x:v>
      </x:c>
      <x:c r="D1417" t="str">
        <x:v>l) 55 a 59 años</x:v>
      </x:c>
      <x:c r="E1417" s="1" t="n">
        <x:v>86</x:v>
      </x:c>
    </x:row>
    <x:row r="1418">
      <x:c r="A1418" t="str">
        <x:v>MILPA ALTA</x:v>
      </x:c>
      <x:c r="B1418" t="str">
        <x:v>San Nicolás Tetelco</x:v>
      </x:c>
      <x:c r="C1418" t="str">
        <x:v>Hombre</x:v>
      </x:c>
      <x:c r="D1418" t="str">
        <x:v>m) 60 a 64 años</x:v>
      </x:c>
      <x:c r="E1418" s="1" t="n">
        <x:v>62</x:v>
      </x:c>
    </x:row>
    <x:row r="1419">
      <x:c r="A1419" t="str">
        <x:v>MILPA ALTA</x:v>
      </x:c>
      <x:c r="B1419" t="str">
        <x:v>San Nicolás Tetelco</x:v>
      </x:c>
      <x:c r="C1419" t="str">
        <x:v>Hombre</x:v>
      </x:c>
      <x:c r="D1419" t="str">
        <x:v>n) 65 a 69 años</x:v>
      </x:c>
      <x:c r="E1419" s="1" t="n">
        <x:v>54</x:v>
      </x:c>
    </x:row>
    <x:row r="1420">
      <x:c r="A1420" t="str">
        <x:v>MILPA ALTA</x:v>
      </x:c>
      <x:c r="B1420" t="str">
        <x:v>San Nicolás Tetelco</x:v>
      </x:c>
      <x:c r="C1420" t="str">
        <x:v>Hombre</x:v>
      </x:c>
      <x:c r="D1420" t="str">
        <x:v>o) 70 a 74 años</x:v>
      </x:c>
      <x:c r="E1420" s="1" t="n">
        <x:v>38</x:v>
      </x:c>
    </x:row>
    <x:row r="1421">
      <x:c r="A1421" t="str">
        <x:v>MILPA ALTA</x:v>
      </x:c>
      <x:c r="B1421" t="str">
        <x:v>San Nicolás Tetelco</x:v>
      </x:c>
      <x:c r="C1421" t="str">
        <x:v>Hombre</x:v>
      </x:c>
      <x:c r="D1421" t="str">
        <x:v>p) 75 a 79 años</x:v>
      </x:c>
      <x:c r="E1421" s="1" t="n">
        <x:v>12</x:v>
      </x:c>
    </x:row>
    <x:row r="1422">
      <x:c r="A1422" t="str">
        <x:v>MILPA ALTA</x:v>
      </x:c>
      <x:c r="B1422" t="str">
        <x:v>San Nicolás Tetelco</x:v>
      </x:c>
      <x:c r="C1422" t="str">
        <x:v>Hombre</x:v>
      </x:c>
      <x:c r="D1422" t="str">
        <x:v>q) 80 a 84 años</x:v>
      </x:c>
      <x:c r="E1422" s="1" t="n">
        <x:v>10</x:v>
      </x:c>
    </x:row>
    <x:row r="1423">
      <x:c r="A1423" t="str">
        <x:v>MILPA ALTA</x:v>
      </x:c>
      <x:c r="B1423" t="str">
        <x:v>San Nicolás Tetelco</x:v>
      </x:c>
      <x:c r="C1423" t="str">
        <x:v>Hombre</x:v>
      </x:c>
      <x:c r="D1423" t="str">
        <x:v>r) 85 años y más</x:v>
      </x:c>
      <x:c r="E1423" s="1" t="n">
        <x:v>8</x:v>
      </x:c>
    </x:row>
    <x:row r="1424">
      <x:c r="A1424" t="str">
        <x:v>MILPA ALTA</x:v>
      </x:c>
      <x:c r="B1424" t="str">
        <x:v>San Nicolás Tetelco</x:v>
      </x:c>
      <x:c r="C1424" t="str">
        <x:v>Mujer</x:v>
      </x:c>
      <x:c r="D1424" t="str">
        <x:v>a) 0 a 4 años</x:v>
      </x:c>
      <x:c r="E1424" s="1" t="n">
        <x:v>129</x:v>
      </x:c>
    </x:row>
    <x:row r="1425">
      <x:c r="A1425" t="str">
        <x:v>MILPA ALTA</x:v>
      </x:c>
      <x:c r="B1425" t="str">
        <x:v>San Nicolás Tetelco</x:v>
      </x:c>
      <x:c r="C1425" t="str">
        <x:v>Mujer</x:v>
      </x:c>
      <x:c r="D1425" t="str">
        <x:v>b) 5 a 9 años</x:v>
      </x:c>
      <x:c r="E1425" s="1" t="n">
        <x:v>187</x:v>
      </x:c>
    </x:row>
    <x:row r="1426">
      <x:c r="A1426" t="str">
        <x:v>MILPA ALTA</x:v>
      </x:c>
      <x:c r="B1426" t="str">
        <x:v>San Nicolás Tetelco</x:v>
      </x:c>
      <x:c r="C1426" t="str">
        <x:v>Mujer</x:v>
      </x:c>
      <x:c r="D1426" t="str">
        <x:v>c) 10 a 14 años</x:v>
      </x:c>
      <x:c r="E1426" s="1" t="n">
        <x:v>177</x:v>
      </x:c>
    </x:row>
    <x:row r="1427">
      <x:c r="A1427" t="str">
        <x:v>MILPA ALTA</x:v>
      </x:c>
      <x:c r="B1427" t="str">
        <x:v>San Nicolás Tetelco</x:v>
      </x:c>
      <x:c r="C1427" t="str">
        <x:v>Mujer</x:v>
      </x:c>
      <x:c r="D1427" t="str">
        <x:v>d) 15 a 19 años</x:v>
      </x:c>
      <x:c r="E1427" s="1" t="n">
        <x:v>178</x:v>
      </x:c>
    </x:row>
    <x:row r="1428">
      <x:c r="A1428" t="str">
        <x:v>MILPA ALTA</x:v>
      </x:c>
      <x:c r="B1428" t="str">
        <x:v>San Nicolás Tetelco</x:v>
      </x:c>
      <x:c r="C1428" t="str">
        <x:v>Mujer</x:v>
      </x:c>
      <x:c r="D1428" t="str">
        <x:v>e) 20 a 24 años</x:v>
      </x:c>
      <x:c r="E1428" s="1" t="n">
        <x:v>165</x:v>
      </x:c>
    </x:row>
    <x:row r="1429">
      <x:c r="A1429" t="str">
        <x:v>MILPA ALTA</x:v>
      </x:c>
      <x:c r="B1429" t="str">
        <x:v>San Nicolás Tetelco</x:v>
      </x:c>
      <x:c r="C1429" t="str">
        <x:v>Mujer</x:v>
      </x:c>
      <x:c r="D1429" t="str">
        <x:v>f) 25 a 29 años</x:v>
      </x:c>
      <x:c r="E1429" s="1" t="n">
        <x:v>173</x:v>
      </x:c>
    </x:row>
    <x:row r="1430">
      <x:c r="A1430" t="str">
        <x:v>MILPA ALTA</x:v>
      </x:c>
      <x:c r="B1430" t="str">
        <x:v>San Nicolás Tetelco</x:v>
      </x:c>
      <x:c r="C1430" t="str">
        <x:v>Mujer</x:v>
      </x:c>
      <x:c r="D1430" t="str">
        <x:v>g) 30 a 34 años</x:v>
      </x:c>
      <x:c r="E1430" s="1" t="n">
        <x:v>162</x:v>
      </x:c>
    </x:row>
    <x:row r="1431">
      <x:c r="A1431" t="str">
        <x:v>MILPA ALTA</x:v>
      </x:c>
      <x:c r="B1431" t="str">
        <x:v>San Nicolás Tetelco</x:v>
      </x:c>
      <x:c r="C1431" t="str">
        <x:v>Mujer</x:v>
      </x:c>
      <x:c r="D1431" t="str">
        <x:v>h) 35 a 39 años</x:v>
      </x:c>
      <x:c r="E1431" s="1" t="n">
        <x:v>151</x:v>
      </x:c>
    </x:row>
    <x:row r="1432">
      <x:c r="A1432" t="str">
        <x:v>MILPA ALTA</x:v>
      </x:c>
      <x:c r="B1432" t="str">
        <x:v>San Nicolás Tetelco</x:v>
      </x:c>
      <x:c r="C1432" t="str">
        <x:v>Mujer</x:v>
      </x:c>
      <x:c r="D1432" t="str">
        <x:v>i) 40 a 44 años</x:v>
      </x:c>
      <x:c r="E1432" s="1" t="n">
        <x:v>145</x:v>
      </x:c>
    </x:row>
    <x:row r="1433">
      <x:c r="A1433" t="str">
        <x:v>MILPA ALTA</x:v>
      </x:c>
      <x:c r="B1433" t="str">
        <x:v>San Nicolás Tetelco</x:v>
      </x:c>
      <x:c r="C1433" t="str">
        <x:v>Mujer</x:v>
      </x:c>
      <x:c r="D1433" t="str">
        <x:v>j) 45 a 49 años</x:v>
      </x:c>
      <x:c r="E1433" s="1" t="n">
        <x:v>163</x:v>
      </x:c>
    </x:row>
    <x:row r="1434">
      <x:c r="A1434" t="str">
        <x:v>MILPA ALTA</x:v>
      </x:c>
      <x:c r="B1434" t="str">
        <x:v>San Nicolás Tetelco</x:v>
      </x:c>
      <x:c r="C1434" t="str">
        <x:v>Mujer</x:v>
      </x:c>
      <x:c r="D1434" t="str">
        <x:v>k) 50 a 54 años</x:v>
      </x:c>
      <x:c r="E1434" s="1" t="n">
        <x:v>130</x:v>
      </x:c>
    </x:row>
    <x:row r="1435">
      <x:c r="A1435" t="str">
        <x:v>MILPA ALTA</x:v>
      </x:c>
      <x:c r="B1435" t="str">
        <x:v>San Nicolás Tetelco</x:v>
      </x:c>
      <x:c r="C1435" t="str">
        <x:v>Mujer</x:v>
      </x:c>
      <x:c r="D1435" t="str">
        <x:v>l) 55 a 59 años</x:v>
      </x:c>
      <x:c r="E1435" s="1" t="n">
        <x:v>75</x:v>
      </x:c>
    </x:row>
    <x:row r="1436">
      <x:c r="A1436" t="str">
        <x:v>MILPA ALTA</x:v>
      </x:c>
      <x:c r="B1436" t="str">
        <x:v>San Nicolás Tetelco</x:v>
      </x:c>
      <x:c r="C1436" t="str">
        <x:v>Mujer</x:v>
      </x:c>
      <x:c r="D1436" t="str">
        <x:v>m) 60 a 64 años</x:v>
      </x:c>
      <x:c r="E1436" s="1" t="n">
        <x:v>70</x:v>
      </x:c>
    </x:row>
    <x:row r="1437">
      <x:c r="A1437" t="str">
        <x:v>MILPA ALTA</x:v>
      </x:c>
      <x:c r="B1437" t="str">
        <x:v>San Nicolás Tetelco</x:v>
      </x:c>
      <x:c r="C1437" t="str">
        <x:v>Mujer</x:v>
      </x:c>
      <x:c r="D1437" t="str">
        <x:v>n) 65 a 69 años</x:v>
      </x:c>
      <x:c r="E1437" s="1" t="n">
        <x:v>63</x:v>
      </x:c>
    </x:row>
    <x:row r="1438">
      <x:c r="A1438" t="str">
        <x:v>MILPA ALTA</x:v>
      </x:c>
      <x:c r="B1438" t="str">
        <x:v>San Nicolás Tetelco</x:v>
      </x:c>
      <x:c r="C1438" t="str">
        <x:v>Mujer</x:v>
      </x:c>
      <x:c r="D1438" t="str">
        <x:v>o) 70 a 74 años</x:v>
      </x:c>
      <x:c r="E1438" s="1" t="n">
        <x:v>34</x:v>
      </x:c>
    </x:row>
    <x:row r="1439">
      <x:c r="A1439" t="str">
        <x:v>MILPA ALTA</x:v>
      </x:c>
      <x:c r="B1439" t="str">
        <x:v>San Nicolás Tetelco</x:v>
      </x:c>
      <x:c r="C1439" t="str">
        <x:v>Mujer</x:v>
      </x:c>
      <x:c r="D1439" t="str">
        <x:v>p) 75 a 79 años</x:v>
      </x:c>
      <x:c r="E1439" s="1" t="n">
        <x:v>20</x:v>
      </x:c>
    </x:row>
    <x:row r="1440">
      <x:c r="A1440" t="str">
        <x:v>MILPA ALTA</x:v>
      </x:c>
      <x:c r="B1440" t="str">
        <x:v>San Nicolás Tetelco</x:v>
      </x:c>
      <x:c r="C1440" t="str">
        <x:v>Mujer</x:v>
      </x:c>
      <x:c r="D1440" t="str">
        <x:v>q) 80 a 84 años</x:v>
      </x:c>
      <x:c r="E1440" s="1" t="n">
        <x:v>11</x:v>
      </x:c>
    </x:row>
    <x:row r="1441">
      <x:c r="A1441" t="str">
        <x:v>MILPA ALTA</x:v>
      </x:c>
      <x:c r="B1441" t="str">
        <x:v>San Nicolás Tetelco</x:v>
      </x:c>
      <x:c r="C1441" t="str">
        <x:v>Mujer</x:v>
      </x:c>
      <x:c r="D1441" t="str">
        <x:v>r) 85 años y más</x:v>
      </x:c>
      <x:c r="E1441" s="1" t="n">
        <x:v>24</x:v>
      </x:c>
    </x:row>
    <x:row r="1442">
      <x:c r="A1442" t="str">
        <x:v>MILPA ALTA</x:v>
      </x:c>
      <x:c r="B1442" t="str">
        <x:v>Arboledas</x:v>
      </x:c>
      <x:c r="C1442" t="str">
        <x:v>Hombre</x:v>
      </x:c>
      <x:c r="D1442" t="str">
        <x:v>a) 0 a 4 años</x:v>
      </x:c>
      <x:c r="E1442" s="1" t="n">
        <x:v>6</x:v>
      </x:c>
    </x:row>
    <x:row r="1443">
      <x:c r="A1443" t="str">
        <x:v>MILPA ALTA</x:v>
      </x:c>
      <x:c r="B1443" t="str">
        <x:v>Arboledas</x:v>
      </x:c>
      <x:c r="C1443" t="str">
        <x:v>Hombre</x:v>
      </x:c>
      <x:c r="D1443" t="str">
        <x:v>b) 5 a 9 años</x:v>
      </x:c>
      <x:c r="E1443" s="1" t="n">
        <x:v>5</x:v>
      </x:c>
    </x:row>
    <x:row r="1444">
      <x:c r="A1444" t="str">
        <x:v>MILPA ALTA</x:v>
      </x:c>
      <x:c r="B1444" t="str">
        <x:v>Arboledas</x:v>
      </x:c>
      <x:c r="C1444" t="str">
        <x:v>Hombre</x:v>
      </x:c>
      <x:c r="D1444" t="str">
        <x:v>c) 10 a 14 años</x:v>
      </x:c>
      <x:c r="E1444" s="1" t="n">
        <x:v>21</x:v>
      </x:c>
    </x:row>
    <x:row r="1445">
      <x:c r="A1445" t="str">
        <x:v>MILPA ALTA</x:v>
      </x:c>
      <x:c r="B1445" t="str">
        <x:v>Arboledas</x:v>
      </x:c>
      <x:c r="C1445" t="str">
        <x:v>Hombre</x:v>
      </x:c>
      <x:c r="D1445" t="str">
        <x:v>d) 15 a 19 años</x:v>
      </x:c>
      <x:c r="E1445" s="1" t="n">
        <x:v>13</x:v>
      </x:c>
    </x:row>
    <x:row r="1446">
      <x:c r="A1446" t="str">
        <x:v>MILPA ALTA</x:v>
      </x:c>
      <x:c r="B1446" t="str">
        <x:v>Arboledas</x:v>
      </x:c>
      <x:c r="C1446" t="str">
        <x:v>Hombre</x:v>
      </x:c>
      <x:c r="D1446" t="str">
        <x:v>e) 20 a 24 años</x:v>
      </x:c>
      <x:c r="E1446" s="1" t="n">
        <x:v>3</x:v>
      </x:c>
    </x:row>
    <x:row r="1447">
      <x:c r="A1447" t="str">
        <x:v>MILPA ALTA</x:v>
      </x:c>
      <x:c r="B1447" t="str">
        <x:v>Arboledas</x:v>
      </x:c>
      <x:c r="C1447" t="str">
        <x:v>Hombre</x:v>
      </x:c>
      <x:c r="D1447" t="str">
        <x:v>f) 25 a 29 años</x:v>
      </x:c>
      <x:c r="E1447" s="1" t="n">
        <x:v>8</x:v>
      </x:c>
    </x:row>
    <x:row r="1448">
      <x:c r="A1448" t="str">
        <x:v>MILPA ALTA</x:v>
      </x:c>
      <x:c r="B1448" t="str">
        <x:v>Arboledas</x:v>
      </x:c>
      <x:c r="C1448" t="str">
        <x:v>Hombre</x:v>
      </x:c>
      <x:c r="D1448" t="str">
        <x:v>g) 30 a 34 años</x:v>
      </x:c>
      <x:c r="E1448" s="1" t="n">
        <x:v>6</x:v>
      </x:c>
    </x:row>
    <x:row r="1449">
      <x:c r="A1449" t="str">
        <x:v>MILPA ALTA</x:v>
      </x:c>
      <x:c r="B1449" t="str">
        <x:v>Arboledas</x:v>
      </x:c>
      <x:c r="C1449" t="str">
        <x:v>Hombre</x:v>
      </x:c>
      <x:c r="D1449" t="str">
        <x:v>h) 35 a 39 años</x:v>
      </x:c>
      <x:c r="E1449" s="1" t="n">
        <x:v>8</x:v>
      </x:c>
    </x:row>
    <x:row r="1450">
      <x:c r="A1450" t="str">
        <x:v>MILPA ALTA</x:v>
      </x:c>
      <x:c r="B1450" t="str">
        <x:v>Arboledas</x:v>
      </x:c>
      <x:c r="C1450" t="str">
        <x:v>Hombre</x:v>
      </x:c>
      <x:c r="D1450" t="str">
        <x:v>i) 40 a 44 años</x:v>
      </x:c>
      <x:c r="E1450" s="1" t="n">
        <x:v>7</x:v>
      </x:c>
    </x:row>
    <x:row r="1451">
      <x:c r="A1451" t="str">
        <x:v>MILPA ALTA</x:v>
      </x:c>
      <x:c r="B1451" t="str">
        <x:v>Arboledas</x:v>
      </x:c>
      <x:c r="C1451" t="str">
        <x:v>Hombre</x:v>
      </x:c>
      <x:c r="D1451" t="str">
        <x:v>j) 45 a 49 años</x:v>
      </x:c>
      <x:c r="E1451" s="1" t="n">
        <x:v>5</x:v>
      </x:c>
    </x:row>
    <x:row r="1452">
      <x:c r="A1452" t="str">
        <x:v>MILPA ALTA</x:v>
      </x:c>
      <x:c r="B1452" t="str">
        <x:v>Arboledas</x:v>
      </x:c>
      <x:c r="C1452" t="str">
        <x:v>Hombre</x:v>
      </x:c>
      <x:c r="D1452" t="str">
        <x:v>k) 50 a 54 años</x:v>
      </x:c>
      <x:c r="E1452" s="1" t="n">
        <x:v>4</x:v>
      </x:c>
    </x:row>
    <x:row r="1453">
      <x:c r="A1453" t="str">
        <x:v>MILPA ALTA</x:v>
      </x:c>
      <x:c r="B1453" t="str">
        <x:v>Arboledas</x:v>
      </x:c>
      <x:c r="C1453" t="str">
        <x:v>Hombre</x:v>
      </x:c>
      <x:c r="D1453" t="str">
        <x:v>l) 55 a 59 años</x:v>
      </x:c>
      <x:c r="E1453" s="1" t="n">
        <x:v>4</x:v>
      </x:c>
    </x:row>
    <x:row r="1454">
      <x:c r="A1454" t="str">
        <x:v>MILPA ALTA</x:v>
      </x:c>
      <x:c r="B1454" t="str">
        <x:v>Arboledas</x:v>
      </x:c>
      <x:c r="C1454" t="str">
        <x:v>Hombre</x:v>
      </x:c>
      <x:c r="D1454" t="str">
        <x:v>m) 60 a 64 años</x:v>
      </x:c>
      <x:c r="E1454" s="1" t="n">
        <x:v>3</x:v>
      </x:c>
    </x:row>
    <x:row r="1455">
      <x:c r="A1455" t="str">
        <x:v>MILPA ALTA</x:v>
      </x:c>
      <x:c r="B1455" t="str">
        <x:v>Arboledas</x:v>
      </x:c>
      <x:c r="C1455" t="str">
        <x:v>Hombre</x:v>
      </x:c>
      <x:c r="D1455" t="str">
        <x:v>n) 65 a 69 años</x:v>
      </x:c>
      <x:c r="E1455" s="1" t="n">
        <x:v>1</x:v>
      </x:c>
    </x:row>
    <x:row r="1456">
      <x:c r="A1456" t="str">
        <x:v>MILPA ALTA</x:v>
      </x:c>
      <x:c r="B1456" t="str">
        <x:v>Arboledas</x:v>
      </x:c>
      <x:c r="C1456" t="str">
        <x:v>Hombre</x:v>
      </x:c>
      <x:c r="D1456" t="str">
        <x:v>o) 70 a 74 años</x:v>
      </x:c>
      <x:c r="E1456" s="1" t="n">
        <x:v>0</x:v>
      </x:c>
    </x:row>
    <x:row r="1457">
      <x:c r="A1457" t="str">
        <x:v>MILPA ALTA</x:v>
      </x:c>
      <x:c r="B1457" t="str">
        <x:v>Arboledas</x:v>
      </x:c>
      <x:c r="C1457" t="str">
        <x:v>Hombre</x:v>
      </x:c>
      <x:c r="D1457" t="str">
        <x:v>p) 75 a 79 años</x:v>
      </x:c>
      <x:c r="E1457" s="1" t="n">
        <x:v>2</x:v>
      </x:c>
    </x:row>
    <x:row r="1458">
      <x:c r="A1458" t="str">
        <x:v>MILPA ALTA</x:v>
      </x:c>
      <x:c r="B1458" t="str">
        <x:v>Arboledas</x:v>
      </x:c>
      <x:c r="C1458" t="str">
        <x:v>Hombre</x:v>
      </x:c>
      <x:c r="D1458" t="str">
        <x:v>q) 80 a 84 años</x:v>
      </x:c>
      <x:c r="E1458" s="1" t="n">
        <x:v>1</x:v>
      </x:c>
    </x:row>
    <x:row r="1459">
      <x:c r="A1459" t="str">
        <x:v>MILPA ALTA</x:v>
      </x:c>
      <x:c r="B1459" t="str">
        <x:v>Arboledas</x:v>
      </x:c>
      <x:c r="C1459" t="str">
        <x:v>Hombre</x:v>
      </x:c>
      <x:c r="D1459" t="str">
        <x:v>r) 85 años y más</x:v>
      </x:c>
      <x:c r="E1459" s="1" t="n">
        <x:v>1</x:v>
      </x:c>
    </x:row>
    <x:row r="1460">
      <x:c r="A1460" t="str">
        <x:v>MILPA ALTA</x:v>
      </x:c>
      <x:c r="B1460" t="str">
        <x:v>Arboledas</x:v>
      </x:c>
      <x:c r="C1460" t="str">
        <x:v>Mujer</x:v>
      </x:c>
      <x:c r="D1460" t="str">
        <x:v>a) 0 a 4 años</x:v>
      </x:c>
      <x:c r="E1460" s="1" t="n">
        <x:v>6</x:v>
      </x:c>
    </x:row>
    <x:row r="1461">
      <x:c r="A1461" t="str">
        <x:v>MILPA ALTA</x:v>
      </x:c>
      <x:c r="B1461" t="str">
        <x:v>Arboledas</x:v>
      </x:c>
      <x:c r="C1461" t="str">
        <x:v>Mujer</x:v>
      </x:c>
      <x:c r="D1461" t="str">
        <x:v>b) 5 a 9 años</x:v>
      </x:c>
      <x:c r="E1461" s="1" t="n">
        <x:v>7</x:v>
      </x:c>
    </x:row>
    <x:row r="1462">
      <x:c r="A1462" t="str">
        <x:v>MILPA ALTA</x:v>
      </x:c>
      <x:c r="B1462" t="str">
        <x:v>Arboledas</x:v>
      </x:c>
      <x:c r="C1462" t="str">
        <x:v>Mujer</x:v>
      </x:c>
      <x:c r="D1462" t="str">
        <x:v>c) 10 a 14 años</x:v>
      </x:c>
      <x:c r="E1462" s="1" t="n">
        <x:v>8</x:v>
      </x:c>
    </x:row>
    <x:row r="1463">
      <x:c r="A1463" t="str">
        <x:v>MILPA ALTA</x:v>
      </x:c>
      <x:c r="B1463" t="str">
        <x:v>Arboledas</x:v>
      </x:c>
      <x:c r="C1463" t="str">
        <x:v>Mujer</x:v>
      </x:c>
      <x:c r="D1463" t="str">
        <x:v>d) 15 a 19 años</x:v>
      </x:c>
      <x:c r="E1463" s="1" t="n">
        <x:v>7</x:v>
      </x:c>
    </x:row>
    <x:row r="1464">
      <x:c r="A1464" t="str">
        <x:v>MILPA ALTA</x:v>
      </x:c>
      <x:c r="B1464" t="str">
        <x:v>Arboledas</x:v>
      </x:c>
      <x:c r="C1464" t="str">
        <x:v>Mujer</x:v>
      </x:c>
      <x:c r="D1464" t="str">
        <x:v>e) 20 a 24 años</x:v>
      </x:c>
      <x:c r="E1464" s="1" t="n">
        <x:v>5</x:v>
      </x:c>
    </x:row>
    <x:row r="1465">
      <x:c r="A1465" t="str">
        <x:v>MILPA ALTA</x:v>
      </x:c>
      <x:c r="B1465" t="str">
        <x:v>Arboledas</x:v>
      </x:c>
      <x:c r="C1465" t="str">
        <x:v>Mujer</x:v>
      </x:c>
      <x:c r="D1465" t="str">
        <x:v>f) 25 a 29 años</x:v>
      </x:c>
      <x:c r="E1465" s="1" t="n">
        <x:v>9</x:v>
      </x:c>
    </x:row>
    <x:row r="1466">
      <x:c r="A1466" t="str">
        <x:v>MILPA ALTA</x:v>
      </x:c>
      <x:c r="B1466" t="str">
        <x:v>Arboledas</x:v>
      </x:c>
      <x:c r="C1466" t="str">
        <x:v>Mujer</x:v>
      </x:c>
      <x:c r="D1466" t="str">
        <x:v>g) 30 a 34 años</x:v>
      </x:c>
      <x:c r="E1466" s="1" t="n">
        <x:v>11</x:v>
      </x:c>
    </x:row>
    <x:row r="1467">
      <x:c r="A1467" t="str">
        <x:v>MILPA ALTA</x:v>
      </x:c>
      <x:c r="B1467" t="str">
        <x:v>Arboledas</x:v>
      </x:c>
      <x:c r="C1467" t="str">
        <x:v>Mujer</x:v>
      </x:c>
      <x:c r="D1467" t="str">
        <x:v>h) 35 a 39 años</x:v>
      </x:c>
      <x:c r="E1467" s="1" t="n">
        <x:v>5</x:v>
      </x:c>
    </x:row>
    <x:row r="1468">
      <x:c r="A1468" t="str">
        <x:v>MILPA ALTA</x:v>
      </x:c>
      <x:c r="B1468" t="str">
        <x:v>Arboledas</x:v>
      </x:c>
      <x:c r="C1468" t="str">
        <x:v>Mujer</x:v>
      </x:c>
      <x:c r="D1468" t="str">
        <x:v>i) 40 a 44 años</x:v>
      </x:c>
      <x:c r="E1468" s="1" t="n">
        <x:v>4</x:v>
      </x:c>
    </x:row>
    <x:row r="1469">
      <x:c r="A1469" t="str">
        <x:v>MILPA ALTA</x:v>
      </x:c>
      <x:c r="B1469" t="str">
        <x:v>Arboledas</x:v>
      </x:c>
      <x:c r="C1469" t="str">
        <x:v>Mujer</x:v>
      </x:c>
      <x:c r="D1469" t="str">
        <x:v>j) 45 a 49 años</x:v>
      </x:c>
      <x:c r="E1469" s="1" t="n">
        <x:v>4</x:v>
      </x:c>
    </x:row>
    <x:row r="1470">
      <x:c r="A1470" t="str">
        <x:v>MILPA ALTA</x:v>
      </x:c>
      <x:c r="B1470" t="str">
        <x:v>Arboledas</x:v>
      </x:c>
      <x:c r="C1470" t="str">
        <x:v>Mujer</x:v>
      </x:c>
      <x:c r="D1470" t="str">
        <x:v>k) 50 a 54 años</x:v>
      </x:c>
      <x:c r="E1470" s="1" t="n">
        <x:v>6</x:v>
      </x:c>
    </x:row>
    <x:row r="1471">
      <x:c r="A1471" t="str">
        <x:v>MILPA ALTA</x:v>
      </x:c>
      <x:c r="B1471" t="str">
        <x:v>Arboledas</x:v>
      </x:c>
      <x:c r="C1471" t="str">
        <x:v>Mujer</x:v>
      </x:c>
      <x:c r="D1471" t="str">
        <x:v>l) 55 a 59 años</x:v>
      </x:c>
      <x:c r="E1471" s="1" t="n">
        <x:v>4</x:v>
      </x:c>
    </x:row>
    <x:row r="1472">
      <x:c r="A1472" t="str">
        <x:v>MILPA ALTA</x:v>
      </x:c>
      <x:c r="B1472" t="str">
        <x:v>Arboledas</x:v>
      </x:c>
      <x:c r="C1472" t="str">
        <x:v>Mujer</x:v>
      </x:c>
      <x:c r="D1472" t="str">
        <x:v>m) 60 a 64 años</x:v>
      </x:c>
      <x:c r="E1472" s="1" t="n">
        <x:v>3</x:v>
      </x:c>
    </x:row>
    <x:row r="1473">
      <x:c r="A1473" t="str">
        <x:v>MILPA ALTA</x:v>
      </x:c>
      <x:c r="B1473" t="str">
        <x:v>Arboledas</x:v>
      </x:c>
      <x:c r="C1473" t="str">
        <x:v>Mujer</x:v>
      </x:c>
      <x:c r="D1473" t="str">
        <x:v>n) 65 a 69 años</x:v>
      </x:c>
      <x:c r="E1473" s="1" t="n">
        <x:v>3</x:v>
      </x:c>
    </x:row>
    <x:row r="1474">
      <x:c r="A1474" t="str">
        <x:v>MILPA ALTA</x:v>
      </x:c>
      <x:c r="B1474" t="str">
        <x:v>Arboledas</x:v>
      </x:c>
      <x:c r="C1474" t="str">
        <x:v>Mujer</x:v>
      </x:c>
      <x:c r="D1474" t="str">
        <x:v>o) 70 a 74 años</x:v>
      </x:c>
      <x:c r="E1474" s="1" t="n">
        <x:v>1</x:v>
      </x:c>
    </x:row>
    <x:row r="1475">
      <x:c r="A1475" t="str">
        <x:v>MILPA ALTA</x:v>
      </x:c>
      <x:c r="B1475" t="str">
        <x:v>Arboledas</x:v>
      </x:c>
      <x:c r="C1475" t="str">
        <x:v>Mujer</x:v>
      </x:c>
      <x:c r="D1475" t="str">
        <x:v>p) 75 a 79 años</x:v>
      </x:c>
      <x:c r="E1475" s="1" t="n">
        <x:v>2</x:v>
      </x:c>
    </x:row>
    <x:row r="1476">
      <x:c r="A1476" t="str">
        <x:v>MILPA ALTA</x:v>
      </x:c>
      <x:c r="B1476" t="str">
        <x:v>Arboledas</x:v>
      </x:c>
      <x:c r="C1476" t="str">
        <x:v>Mujer</x:v>
      </x:c>
      <x:c r="D1476" t="str">
        <x:v>q) 80 a 84 años</x:v>
      </x:c>
      <x:c r="E1476" s="1" t="n">
        <x:v>0</x:v>
      </x:c>
    </x:row>
    <x:row r="1477">
      <x:c r="A1477" t="str">
        <x:v>MILPA ALTA</x:v>
      </x:c>
      <x:c r="B1477" t="str">
        <x:v>Arboledas</x:v>
      </x:c>
      <x:c r="C1477" t="str">
        <x:v>Mujer</x:v>
      </x:c>
      <x:c r="D1477" t="str">
        <x:v>r) 85 años y más</x:v>
      </x:c>
      <x:c r="E1477" s="1" t="n">
        <x:v>0</x:v>
      </x:c>
    </x:row>
    <x:row r="1478">
      <x:c r="A1478" t="str">
        <x:v>MILPA ALTA</x:v>
      </x:c>
      <x:c r="B1478" t="str">
        <x:v>Tehuizco</x:v>
      </x:c>
      <x:c r="C1478" t="str">
        <x:v>Hombre</x:v>
      </x:c>
      <x:c r="D1478" t="str">
        <x:v>a) 0 a 4 años</x:v>
      </x:c>
      <x:c r="E1478" s="1" t="n">
        <x:v>13</x:v>
      </x:c>
    </x:row>
    <x:row r="1479">
      <x:c r="A1479" t="str">
        <x:v>MILPA ALTA</x:v>
      </x:c>
      <x:c r="B1479" t="str">
        <x:v>Tehuizco</x:v>
      </x:c>
      <x:c r="C1479" t="str">
        <x:v>Hombre</x:v>
      </x:c>
      <x:c r="D1479" t="str">
        <x:v>b) 5 a 9 años</x:v>
      </x:c>
      <x:c r="E1479" s="1" t="n">
        <x:v>10</x:v>
      </x:c>
    </x:row>
    <x:row r="1480">
      <x:c r="A1480" t="str">
        <x:v>MILPA ALTA</x:v>
      </x:c>
      <x:c r="B1480" t="str">
        <x:v>Tehuizco</x:v>
      </x:c>
      <x:c r="C1480" t="str">
        <x:v>Hombre</x:v>
      </x:c>
      <x:c r="D1480" t="str">
        <x:v>c) 10 a 14 años</x:v>
      </x:c>
      <x:c r="E1480" s="1" t="n">
        <x:v>15</x:v>
      </x:c>
    </x:row>
    <x:row r="1481">
      <x:c r="A1481" t="str">
        <x:v>MILPA ALTA</x:v>
      </x:c>
      <x:c r="B1481" t="str">
        <x:v>Tehuizco</x:v>
      </x:c>
      <x:c r="C1481" t="str">
        <x:v>Hombre</x:v>
      </x:c>
      <x:c r="D1481" t="str">
        <x:v>d) 15 a 19 años</x:v>
      </x:c>
      <x:c r="E1481" s="1" t="n">
        <x:v>13</x:v>
      </x:c>
    </x:row>
    <x:row r="1482">
      <x:c r="A1482" t="str">
        <x:v>MILPA ALTA</x:v>
      </x:c>
      <x:c r="B1482" t="str">
        <x:v>Tehuizco</x:v>
      </x:c>
      <x:c r="C1482" t="str">
        <x:v>Hombre</x:v>
      </x:c>
      <x:c r="D1482" t="str">
        <x:v>e) 20 a 24 años</x:v>
      </x:c>
      <x:c r="E1482" s="1" t="n">
        <x:v>7</x:v>
      </x:c>
    </x:row>
    <x:row r="1483">
      <x:c r="A1483" t="str">
        <x:v>MILPA ALTA</x:v>
      </x:c>
      <x:c r="B1483" t="str">
        <x:v>Tehuizco</x:v>
      </x:c>
      <x:c r="C1483" t="str">
        <x:v>Hombre</x:v>
      </x:c>
      <x:c r="D1483" t="str">
        <x:v>f) 25 a 29 años</x:v>
      </x:c>
      <x:c r="E1483" s="1" t="n">
        <x:v>21</x:v>
      </x:c>
    </x:row>
    <x:row r="1484">
      <x:c r="A1484" t="str">
        <x:v>MILPA ALTA</x:v>
      </x:c>
      <x:c r="B1484" t="str">
        <x:v>Tehuizco</x:v>
      </x:c>
      <x:c r="C1484" t="str">
        <x:v>Hombre</x:v>
      </x:c>
      <x:c r="D1484" t="str">
        <x:v>g) 30 a 34 años</x:v>
      </x:c>
      <x:c r="E1484" s="1" t="n">
        <x:v>13</x:v>
      </x:c>
    </x:row>
    <x:row r="1485">
      <x:c r="A1485" t="str">
        <x:v>MILPA ALTA</x:v>
      </x:c>
      <x:c r="B1485" t="str">
        <x:v>Tehuizco</x:v>
      </x:c>
      <x:c r="C1485" t="str">
        <x:v>Hombre</x:v>
      </x:c>
      <x:c r="D1485" t="str">
        <x:v>h) 35 a 39 años</x:v>
      </x:c>
      <x:c r="E1485" s="1" t="n">
        <x:v>12</x:v>
      </x:c>
    </x:row>
    <x:row r="1486">
      <x:c r="A1486" t="str">
        <x:v>MILPA ALTA</x:v>
      </x:c>
      <x:c r="B1486" t="str">
        <x:v>Tehuizco</x:v>
      </x:c>
      <x:c r="C1486" t="str">
        <x:v>Hombre</x:v>
      </x:c>
      <x:c r="D1486" t="str">
        <x:v>i) 40 a 44 años</x:v>
      </x:c>
      <x:c r="E1486" s="1" t="n">
        <x:v>9</x:v>
      </x:c>
    </x:row>
    <x:row r="1487">
      <x:c r="A1487" t="str">
        <x:v>MILPA ALTA</x:v>
      </x:c>
      <x:c r="B1487" t="str">
        <x:v>Tehuizco</x:v>
      </x:c>
      <x:c r="C1487" t="str">
        <x:v>Hombre</x:v>
      </x:c>
      <x:c r="D1487" t="str">
        <x:v>j) 45 a 49 años</x:v>
      </x:c>
      <x:c r="E1487" s="1" t="n">
        <x:v>6</x:v>
      </x:c>
    </x:row>
    <x:row r="1488">
      <x:c r="A1488" t="str">
        <x:v>MILPA ALTA</x:v>
      </x:c>
      <x:c r="B1488" t="str">
        <x:v>Tehuizco</x:v>
      </x:c>
      <x:c r="C1488" t="str">
        <x:v>Hombre</x:v>
      </x:c>
      <x:c r="D1488" t="str">
        <x:v>k) 50 a 54 años</x:v>
      </x:c>
      <x:c r="E1488" s="1" t="n">
        <x:v>10</x:v>
      </x:c>
    </x:row>
    <x:row r="1489">
      <x:c r="A1489" t="str">
        <x:v>MILPA ALTA</x:v>
      </x:c>
      <x:c r="B1489" t="str">
        <x:v>Tehuizco</x:v>
      </x:c>
      <x:c r="C1489" t="str">
        <x:v>Hombre</x:v>
      </x:c>
      <x:c r="D1489" t="str">
        <x:v>l) 55 a 59 años</x:v>
      </x:c>
      <x:c r="E1489" s="1" t="n">
        <x:v>5</x:v>
      </x:c>
    </x:row>
    <x:row r="1490">
      <x:c r="A1490" t="str">
        <x:v>MILPA ALTA</x:v>
      </x:c>
      <x:c r="B1490" t="str">
        <x:v>Tehuizco</x:v>
      </x:c>
      <x:c r="C1490" t="str">
        <x:v>Hombre</x:v>
      </x:c>
      <x:c r="D1490" t="str">
        <x:v>m) 60 a 64 años</x:v>
      </x:c>
      <x:c r="E1490" s="1" t="n">
        <x:v>6</x:v>
      </x:c>
    </x:row>
    <x:row r="1491">
      <x:c r="A1491" t="str">
        <x:v>MILPA ALTA</x:v>
      </x:c>
      <x:c r="B1491" t="str">
        <x:v>Tehuizco</x:v>
      </x:c>
      <x:c r="C1491" t="str">
        <x:v>Hombre</x:v>
      </x:c>
      <x:c r="D1491" t="str">
        <x:v>n) 65 a 69 años</x:v>
      </x:c>
      <x:c r="E1491" s="1" t="n">
        <x:v>1</x:v>
      </x:c>
    </x:row>
    <x:row r="1492">
      <x:c r="A1492" t="str">
        <x:v>MILPA ALTA</x:v>
      </x:c>
      <x:c r="B1492" t="str">
        <x:v>Tehuizco</x:v>
      </x:c>
      <x:c r="C1492" t="str">
        <x:v>Hombre</x:v>
      </x:c>
      <x:c r="D1492" t="str">
        <x:v>o) 70 a 74 años</x:v>
      </x:c>
      <x:c r="E1492" s="1" t="n">
        <x:v>0</x:v>
      </x:c>
    </x:row>
    <x:row r="1493">
      <x:c r="A1493" t="str">
        <x:v>MILPA ALTA</x:v>
      </x:c>
      <x:c r="B1493" t="str">
        <x:v>Tehuizco</x:v>
      </x:c>
      <x:c r="C1493" t="str">
        <x:v>Hombre</x:v>
      </x:c>
      <x:c r="D1493" t="str">
        <x:v>p) 75 a 79 años</x:v>
      </x:c>
      <x:c r="E1493" s="1" t="n">
        <x:v>1</x:v>
      </x:c>
    </x:row>
    <x:row r="1494">
      <x:c r="A1494" t="str">
        <x:v>MILPA ALTA</x:v>
      </x:c>
      <x:c r="B1494" t="str">
        <x:v>Tehuizco</x:v>
      </x:c>
      <x:c r="C1494" t="str">
        <x:v>Hombre</x:v>
      </x:c>
      <x:c r="D1494" t="str">
        <x:v>q) 80 a 84 años</x:v>
      </x:c>
      <x:c r="E1494" s="1" t="n">
        <x:v>0</x:v>
      </x:c>
    </x:row>
    <x:row r="1495">
      <x:c r="A1495" t="str">
        <x:v>MILPA ALTA</x:v>
      </x:c>
      <x:c r="B1495" t="str">
        <x:v>Tehuizco</x:v>
      </x:c>
      <x:c r="C1495" t="str">
        <x:v>Hombre</x:v>
      </x:c>
      <x:c r="D1495" t="str">
        <x:v>r) 85 años y más</x:v>
      </x:c>
      <x:c r="E1495" s="1" t="n">
        <x:v>0</x:v>
      </x:c>
    </x:row>
    <x:row r="1496">
      <x:c r="A1496" t="str">
        <x:v>MILPA ALTA</x:v>
      </x:c>
      <x:c r="B1496" t="str">
        <x:v>Tehuizco</x:v>
      </x:c>
      <x:c r="C1496" t="str">
        <x:v>Mujer</x:v>
      </x:c>
      <x:c r="D1496" t="str">
        <x:v>a) 0 a 4 años</x:v>
      </x:c>
      <x:c r="E1496" s="1" t="n">
        <x:v>14</x:v>
      </x:c>
    </x:row>
    <x:row r="1497">
      <x:c r="A1497" t="str">
        <x:v>MILPA ALTA</x:v>
      </x:c>
      <x:c r="B1497" t="str">
        <x:v>Tehuizco</x:v>
      </x:c>
      <x:c r="C1497" t="str">
        <x:v>Mujer</x:v>
      </x:c>
      <x:c r="D1497" t="str">
        <x:v>b) 5 a 9 años</x:v>
      </x:c>
      <x:c r="E1497" s="1" t="n">
        <x:v>12</x:v>
      </x:c>
    </x:row>
    <x:row r="1498">
      <x:c r="A1498" t="str">
        <x:v>MILPA ALTA</x:v>
      </x:c>
      <x:c r="B1498" t="str">
        <x:v>Tehuizco</x:v>
      </x:c>
      <x:c r="C1498" t="str">
        <x:v>Mujer</x:v>
      </x:c>
      <x:c r="D1498" t="str">
        <x:v>c) 10 a 14 años</x:v>
      </x:c>
      <x:c r="E1498" s="1" t="n">
        <x:v>16</x:v>
      </x:c>
    </x:row>
    <x:row r="1499">
      <x:c r="A1499" t="str">
        <x:v>MILPA ALTA</x:v>
      </x:c>
      <x:c r="B1499" t="str">
        <x:v>Tehuizco</x:v>
      </x:c>
      <x:c r="C1499" t="str">
        <x:v>Mujer</x:v>
      </x:c>
      <x:c r="D1499" t="str">
        <x:v>d) 15 a 19 años</x:v>
      </x:c>
      <x:c r="E1499" s="1" t="n">
        <x:v>18</x:v>
      </x:c>
    </x:row>
    <x:row r="1500">
      <x:c r="A1500" t="str">
        <x:v>MILPA ALTA</x:v>
      </x:c>
      <x:c r="B1500" t="str">
        <x:v>Tehuizco</x:v>
      </x:c>
      <x:c r="C1500" t="str">
        <x:v>Mujer</x:v>
      </x:c>
      <x:c r="D1500" t="str">
        <x:v>e) 20 a 24 años</x:v>
      </x:c>
      <x:c r="E1500" s="1" t="n">
        <x:v>17</x:v>
      </x:c>
    </x:row>
    <x:row r="1501">
      <x:c r="A1501" t="str">
        <x:v>MILPA ALTA</x:v>
      </x:c>
      <x:c r="B1501" t="str">
        <x:v>Tehuizco</x:v>
      </x:c>
      <x:c r="C1501" t="str">
        <x:v>Mujer</x:v>
      </x:c>
      <x:c r="D1501" t="str">
        <x:v>f) 25 a 29 años</x:v>
      </x:c>
      <x:c r="E1501" s="1" t="n">
        <x:v>14</x:v>
      </x:c>
    </x:row>
    <x:row r="1502">
      <x:c r="A1502" t="str">
        <x:v>MILPA ALTA</x:v>
      </x:c>
      <x:c r="B1502" t="str">
        <x:v>Tehuizco</x:v>
      </x:c>
      <x:c r="C1502" t="str">
        <x:v>Mujer</x:v>
      </x:c>
      <x:c r="D1502" t="str">
        <x:v>g) 30 a 34 años</x:v>
      </x:c>
      <x:c r="E1502" s="1" t="n">
        <x:v>9</x:v>
      </x:c>
    </x:row>
    <x:row r="1503">
      <x:c r="A1503" t="str">
        <x:v>MILPA ALTA</x:v>
      </x:c>
      <x:c r="B1503" t="str">
        <x:v>Tehuizco</x:v>
      </x:c>
      <x:c r="C1503" t="str">
        <x:v>Mujer</x:v>
      </x:c>
      <x:c r="D1503" t="str">
        <x:v>h) 35 a 39 años</x:v>
      </x:c>
      <x:c r="E1503" s="1" t="n">
        <x:v>13</x:v>
      </x:c>
    </x:row>
    <x:row r="1504">
      <x:c r="A1504" t="str">
        <x:v>MILPA ALTA</x:v>
      </x:c>
      <x:c r="B1504" t="str">
        <x:v>Tehuizco</x:v>
      </x:c>
      <x:c r="C1504" t="str">
        <x:v>Mujer</x:v>
      </x:c>
      <x:c r="D1504" t="str">
        <x:v>i) 40 a 44 años</x:v>
      </x:c>
      <x:c r="E1504" s="1" t="n">
        <x:v>7</x:v>
      </x:c>
    </x:row>
    <x:row r="1505">
      <x:c r="A1505" t="str">
        <x:v>MILPA ALTA</x:v>
      </x:c>
      <x:c r="B1505" t="str">
        <x:v>Tehuizco</x:v>
      </x:c>
      <x:c r="C1505" t="str">
        <x:v>Mujer</x:v>
      </x:c>
      <x:c r="D1505" t="str">
        <x:v>j) 45 a 49 años</x:v>
      </x:c>
      <x:c r="E1505" s="1" t="n">
        <x:v>13</x:v>
      </x:c>
    </x:row>
    <x:row r="1506">
      <x:c r="A1506" t="str">
        <x:v>MILPA ALTA</x:v>
      </x:c>
      <x:c r="B1506" t="str">
        <x:v>Tehuizco</x:v>
      </x:c>
      <x:c r="C1506" t="str">
        <x:v>Mujer</x:v>
      </x:c>
      <x:c r="D1506" t="str">
        <x:v>k) 50 a 54 años</x:v>
      </x:c>
      <x:c r="E1506" s="1" t="n">
        <x:v>12</x:v>
      </x:c>
    </x:row>
    <x:row r="1507">
      <x:c r="A1507" t="str">
        <x:v>MILPA ALTA</x:v>
      </x:c>
      <x:c r="B1507" t="str">
        <x:v>Tehuizco</x:v>
      </x:c>
      <x:c r="C1507" t="str">
        <x:v>Mujer</x:v>
      </x:c>
      <x:c r="D1507" t="str">
        <x:v>l) 55 a 59 años</x:v>
      </x:c>
      <x:c r="E1507" s="1" t="n">
        <x:v>3</x:v>
      </x:c>
    </x:row>
    <x:row r="1508">
      <x:c r="A1508" t="str">
        <x:v>MILPA ALTA</x:v>
      </x:c>
      <x:c r="B1508" t="str">
        <x:v>Tehuizco</x:v>
      </x:c>
      <x:c r="C1508" t="str">
        <x:v>Mujer</x:v>
      </x:c>
      <x:c r="D1508" t="str">
        <x:v>m) 60 a 64 años</x:v>
      </x:c>
      <x:c r="E1508" s="1" t="n">
        <x:v>5</x:v>
      </x:c>
    </x:row>
    <x:row r="1509">
      <x:c r="A1509" t="str">
        <x:v>MILPA ALTA</x:v>
      </x:c>
      <x:c r="B1509" t="str">
        <x:v>Tehuizco</x:v>
      </x:c>
      <x:c r="C1509" t="str">
        <x:v>Mujer</x:v>
      </x:c>
      <x:c r="D1509" t="str">
        <x:v>n) 65 a 69 años</x:v>
      </x:c>
      <x:c r="E1509" s="1" t="n">
        <x:v>5</x:v>
      </x:c>
    </x:row>
    <x:row r="1510">
      <x:c r="A1510" t="str">
        <x:v>MILPA ALTA</x:v>
      </x:c>
      <x:c r="B1510" t="str">
        <x:v>Tehuizco</x:v>
      </x:c>
      <x:c r="C1510" t="str">
        <x:v>Mujer</x:v>
      </x:c>
      <x:c r="D1510" t="str">
        <x:v>o) 70 a 74 años</x:v>
      </x:c>
      <x:c r="E1510" s="1" t="n">
        <x:v>0</x:v>
      </x:c>
    </x:row>
    <x:row r="1511">
      <x:c r="A1511" t="str">
        <x:v>MILPA ALTA</x:v>
      </x:c>
      <x:c r="B1511" t="str">
        <x:v>Tehuizco</x:v>
      </x:c>
      <x:c r="C1511" t="str">
        <x:v>Mujer</x:v>
      </x:c>
      <x:c r="D1511" t="str">
        <x:v>p) 75 a 79 años</x:v>
      </x:c>
      <x:c r="E1511" s="1" t="n">
        <x:v>0</x:v>
      </x:c>
    </x:row>
    <x:row r="1512">
      <x:c r="A1512" t="str">
        <x:v>MILPA ALTA</x:v>
      </x:c>
      <x:c r="B1512" t="str">
        <x:v>Tehuizco</x:v>
      </x:c>
      <x:c r="C1512" t="str">
        <x:v>Mujer</x:v>
      </x:c>
      <x:c r="D1512" t="str">
        <x:v>q) 80 a 84 años</x:v>
      </x:c>
      <x:c r="E1512" s="1" t="n">
        <x:v>1</x:v>
      </x:c>
    </x:row>
    <x:row r="1513">
      <x:c r="A1513" t="str">
        <x:v>MILPA ALTA</x:v>
      </x:c>
      <x:c r="B1513" t="str">
        <x:v>Tehuizco</x:v>
      </x:c>
      <x:c r="C1513" t="str">
        <x:v>Mujer</x:v>
      </x:c>
      <x:c r="D1513" t="str">
        <x:v>r) 85 años y más</x:v>
      </x:c>
      <x:c r="E1513" s="1" t="n">
        <x:v>0</x:v>
      </x:c>
    </x:row>
    <x:row r="1514">
      <x:c r="A1514" t="str">
        <x:v>ALVARO OBREGON</x:v>
      </x:c>
      <x:c r="B1514" t="str">
        <x:v>Álvaro Obregón</x:v>
      </x:c>
      <x:c r="C1514" t="str">
        <x:v>Hombre</x:v>
      </x:c>
      <x:c r="D1514" t="str">
        <x:v>a) 0 a 4 años</x:v>
      </x:c>
      <x:c r="E1514" s="1" t="n">
        <x:v>19400</x:v>
      </x:c>
    </x:row>
    <x:row r="1515">
      <x:c r="A1515" t="str">
        <x:v>ALVARO OBREGON</x:v>
      </x:c>
      <x:c r="B1515" t="str">
        <x:v>Álvaro Obregón</x:v>
      </x:c>
      <x:c r="C1515" t="str">
        <x:v>Hombre</x:v>
      </x:c>
      <x:c r="D1515" t="str">
        <x:v>b) 5 a 9 años</x:v>
      </x:c>
      <x:c r="E1515" s="1" t="n">
        <x:v>23608</x:v>
      </x:c>
    </x:row>
    <x:row r="1516">
      <x:c r="A1516" t="str">
        <x:v>ALVARO OBREGON</x:v>
      </x:c>
      <x:c r="B1516" t="str">
        <x:v>Álvaro Obregón</x:v>
      </x:c>
      <x:c r="C1516" t="str">
        <x:v>Hombre</x:v>
      </x:c>
      <x:c r="D1516" t="str">
        <x:v>c) 10 a 14 años</x:v>
      </x:c>
      <x:c r="E1516" s="1" t="n">
        <x:v>25720</x:v>
      </x:c>
    </x:row>
    <x:row r="1517">
      <x:c r="A1517" t="str">
        <x:v>ALVARO OBREGON</x:v>
      </x:c>
      <x:c r="B1517" t="str">
        <x:v>Álvaro Obregón</x:v>
      </x:c>
      <x:c r="C1517" t="str">
        <x:v>Hombre</x:v>
      </x:c>
      <x:c r="D1517" t="str">
        <x:v>d) 15 a 19 años</x:v>
      </x:c>
      <x:c r="E1517" s="1" t="n">
        <x:v>27597</x:v>
      </x:c>
    </x:row>
    <x:row r="1518">
      <x:c r="A1518" t="str">
        <x:v>ALVARO OBREGON</x:v>
      </x:c>
      <x:c r="B1518" t="str">
        <x:v>Álvaro Obregón</x:v>
      </x:c>
      <x:c r="C1518" t="str">
        <x:v>Hombre</x:v>
      </x:c>
      <x:c r="D1518" t="str">
        <x:v>e) 20 a 24 años</x:v>
      </x:c>
      <x:c r="E1518" s="1" t="n">
        <x:v>29863</x:v>
      </x:c>
    </x:row>
    <x:row r="1519">
      <x:c r="A1519" t="str">
        <x:v>ALVARO OBREGON</x:v>
      </x:c>
      <x:c r="B1519" t="str">
        <x:v>Álvaro Obregón</x:v>
      </x:c>
      <x:c r="C1519" t="str">
        <x:v>Hombre</x:v>
      </x:c>
      <x:c r="D1519" t="str">
        <x:v>f) 25 a 29 años</x:v>
      </x:c>
      <x:c r="E1519" s="1" t="n">
        <x:v>29537</x:v>
      </x:c>
    </x:row>
    <x:row r="1520">
      <x:c r="A1520" t="str">
        <x:v>ALVARO OBREGON</x:v>
      </x:c>
      <x:c r="B1520" t="str">
        <x:v>Álvaro Obregón</x:v>
      </x:c>
      <x:c r="C1520" t="str">
        <x:v>Hombre</x:v>
      </x:c>
      <x:c r="D1520" t="str">
        <x:v>g) 30 a 34 años</x:v>
      </x:c>
      <x:c r="E1520" s="1" t="n">
        <x:v>28594</x:v>
      </x:c>
    </x:row>
    <x:row r="1521">
      <x:c r="A1521" t="str">
        <x:v>ALVARO OBREGON</x:v>
      </x:c>
      <x:c r="B1521" t="str">
        <x:v>Álvaro Obregón</x:v>
      </x:c>
      <x:c r="C1521" t="str">
        <x:v>Hombre</x:v>
      </x:c>
      <x:c r="D1521" t="str">
        <x:v>h) 35 a 39 años</x:v>
      </x:c>
      <x:c r="E1521" s="1" t="n">
        <x:v>27325</x:v>
      </x:c>
    </x:row>
    <x:row r="1522">
      <x:c r="A1522" t="str">
        <x:v>ALVARO OBREGON</x:v>
      </x:c>
      <x:c r="B1522" t="str">
        <x:v>Álvaro Obregón</x:v>
      </x:c>
      <x:c r="C1522" t="str">
        <x:v>Hombre</x:v>
      </x:c>
      <x:c r="D1522" t="str">
        <x:v>i) 40 a 44 años</x:v>
      </x:c>
      <x:c r="E1522" s="1" t="n">
        <x:v>25941</x:v>
      </x:c>
    </x:row>
    <x:row r="1523">
      <x:c r="A1523" t="str">
        <x:v>ALVARO OBREGON</x:v>
      </x:c>
      <x:c r="B1523" t="str">
        <x:v>Álvaro Obregón</x:v>
      </x:c>
      <x:c r="C1523" t="str">
        <x:v>Hombre</x:v>
      </x:c>
      <x:c r="D1523" t="str">
        <x:v>j) 45 a 49 años</x:v>
      </x:c>
      <x:c r="E1523" s="1" t="n">
        <x:v>26043</x:v>
      </x:c>
    </x:row>
    <x:row r="1524">
      <x:c r="A1524" t="str">
        <x:v>ALVARO OBREGON</x:v>
      </x:c>
      <x:c r="B1524" t="str">
        <x:v>Álvaro Obregón</x:v>
      </x:c>
      <x:c r="C1524" t="str">
        <x:v>Hombre</x:v>
      </x:c>
      <x:c r="D1524" t="str">
        <x:v>k) 50 a 54 años</x:v>
      </x:c>
      <x:c r="E1524" s="1" t="n">
        <x:v>24125</x:v>
      </x:c>
    </x:row>
    <x:row r="1525">
      <x:c r="A1525" t="str">
        <x:v>ALVARO OBREGON</x:v>
      </x:c>
      <x:c r="B1525" t="str">
        <x:v>Álvaro Obregón</x:v>
      </x:c>
      <x:c r="C1525" t="str">
        <x:v>Hombre</x:v>
      </x:c>
      <x:c r="D1525" t="str">
        <x:v>l) 55 a 59 años</x:v>
      </x:c>
      <x:c r="E1525" s="1" t="n">
        <x:v>20058</x:v>
      </x:c>
    </x:row>
    <x:row r="1526">
      <x:c r="A1526" t="str">
        <x:v>ALVARO OBREGON</x:v>
      </x:c>
      <x:c r="B1526" t="str">
        <x:v>Álvaro Obregón</x:v>
      </x:c>
      <x:c r="C1526" t="str">
        <x:v>Hombre</x:v>
      </x:c>
      <x:c r="D1526" t="str">
        <x:v>m) 60 a 64 años</x:v>
      </x:c>
      <x:c r="E1526" s="1" t="n">
        <x:v>17222</x:v>
      </x:c>
    </x:row>
    <x:row r="1527">
      <x:c r="A1527" t="str">
        <x:v>ALVARO OBREGON</x:v>
      </x:c>
      <x:c r="B1527" t="str">
        <x:v>Álvaro Obregón</x:v>
      </x:c>
      <x:c r="C1527" t="str">
        <x:v>Hombre</x:v>
      </x:c>
      <x:c r="D1527" t="str">
        <x:v>n) 65 a 69 años</x:v>
      </x:c>
      <x:c r="E1527" s="1" t="n">
        <x:v>13187</x:v>
      </x:c>
    </x:row>
    <x:row r="1528">
      <x:c r="A1528" t="str">
        <x:v>ALVARO OBREGON</x:v>
      </x:c>
      <x:c r="B1528" t="str">
        <x:v>Álvaro Obregón</x:v>
      </x:c>
      <x:c r="C1528" t="str">
        <x:v>Hombre</x:v>
      </x:c>
      <x:c r="D1528" t="str">
        <x:v>o) 70 a 74 años</x:v>
      </x:c>
      <x:c r="E1528" s="1" t="n">
        <x:v>9513</x:v>
      </x:c>
    </x:row>
    <x:row r="1529">
      <x:c r="A1529" t="str">
        <x:v>ALVARO OBREGON</x:v>
      </x:c>
      <x:c r="B1529" t="str">
        <x:v>Álvaro Obregón</x:v>
      </x:c>
      <x:c r="C1529" t="str">
        <x:v>Hombre</x:v>
      </x:c>
      <x:c r="D1529" t="str">
        <x:v>p) 75 a 79 años</x:v>
      </x:c>
      <x:c r="E1529" s="1" t="n">
        <x:v>5965</x:v>
      </x:c>
    </x:row>
    <x:row r="1530">
      <x:c r="A1530" t="str">
        <x:v>ALVARO OBREGON</x:v>
      </x:c>
      <x:c r="B1530" t="str">
        <x:v>Álvaro Obregón</x:v>
      </x:c>
      <x:c r="C1530" t="str">
        <x:v>Hombre</x:v>
      </x:c>
      <x:c r="D1530" t="str">
        <x:v>q) 80 a 84 años</x:v>
      </x:c>
      <x:c r="E1530" s="1" t="n">
        <x:v>3808</x:v>
      </x:c>
    </x:row>
    <x:row r="1531">
      <x:c r="A1531" t="str">
        <x:v>ALVARO OBREGON</x:v>
      </x:c>
      <x:c r="B1531" t="str">
        <x:v>Álvaro Obregón</x:v>
      </x:c>
      <x:c r="C1531" t="str">
        <x:v>Hombre</x:v>
      </x:c>
      <x:c r="D1531" t="str">
        <x:v>r) 85 años y más</x:v>
      </x:c>
      <x:c r="E1531" s="1" t="n">
        <x:v>3018</x:v>
      </x:c>
    </x:row>
    <x:row r="1532">
      <x:c r="A1532" t="str">
        <x:v>ALVARO OBREGON</x:v>
      </x:c>
      <x:c r="B1532" t="str">
        <x:v>Álvaro Obregón</x:v>
      </x:c>
      <x:c r="C1532" t="str">
        <x:v>Mujer</x:v>
      </x:c>
      <x:c r="D1532" t="str">
        <x:v>a) 0 a 4 años</x:v>
      </x:c>
      <x:c r="E1532" s="1" t="n">
        <x:v>19069</x:v>
      </x:c>
    </x:row>
    <x:row r="1533">
      <x:c r="A1533" t="str">
        <x:v>ALVARO OBREGON</x:v>
      </x:c>
      <x:c r="B1533" t="str">
        <x:v>Álvaro Obregón</x:v>
      </x:c>
      <x:c r="C1533" t="str">
        <x:v>Mujer</x:v>
      </x:c>
      <x:c r="D1533" t="str">
        <x:v>b) 5 a 9 años</x:v>
      </x:c>
      <x:c r="E1533" s="1" t="n">
        <x:v>23086</x:v>
      </x:c>
    </x:row>
    <x:row r="1534">
      <x:c r="A1534" t="str">
        <x:v>ALVARO OBREGON</x:v>
      </x:c>
      <x:c r="B1534" t="str">
        <x:v>Álvaro Obregón</x:v>
      </x:c>
      <x:c r="C1534" t="str">
        <x:v>Mujer</x:v>
      </x:c>
      <x:c r="D1534" t="str">
        <x:v>c) 10 a 14 años</x:v>
      </x:c>
      <x:c r="E1534" s="1" t="n">
        <x:v>25131</x:v>
      </x:c>
    </x:row>
    <x:row r="1535">
      <x:c r="A1535" t="str">
        <x:v>ALVARO OBREGON</x:v>
      </x:c>
      <x:c r="B1535" t="str">
        <x:v>Álvaro Obregón</x:v>
      </x:c>
      <x:c r="C1535" t="str">
        <x:v>Mujer</x:v>
      </x:c>
      <x:c r="D1535" t="str">
        <x:v>d) 15 a 19 años</x:v>
      </x:c>
      <x:c r="E1535" s="1" t="n">
        <x:v>27236</x:v>
      </x:c>
    </x:row>
    <x:row r="1536">
      <x:c r="A1536" t="str">
        <x:v>ALVARO OBREGON</x:v>
      </x:c>
      <x:c r="B1536" t="str">
        <x:v>Álvaro Obregón</x:v>
      </x:c>
      <x:c r="C1536" t="str">
        <x:v>Mujer</x:v>
      </x:c>
      <x:c r="D1536" t="str">
        <x:v>e) 20 a 24 años</x:v>
      </x:c>
      <x:c r="E1536" s="1" t="n">
        <x:v>30064</x:v>
      </x:c>
    </x:row>
    <x:row r="1537">
      <x:c r="A1537" t="str">
        <x:v>ALVARO OBREGON</x:v>
      </x:c>
      <x:c r="B1537" t="str">
        <x:v>Álvaro Obregón</x:v>
      </x:c>
      <x:c r="C1537" t="str">
        <x:v>Mujer</x:v>
      </x:c>
      <x:c r="D1537" t="str">
        <x:v>f) 25 a 29 años</x:v>
      </x:c>
      <x:c r="E1537" s="1" t="n">
        <x:v>31156</x:v>
      </x:c>
    </x:row>
    <x:row r="1538">
      <x:c r="A1538" t="str">
        <x:v>ALVARO OBREGON</x:v>
      </x:c>
      <x:c r="B1538" t="str">
        <x:v>Álvaro Obregón</x:v>
      </x:c>
      <x:c r="C1538" t="str">
        <x:v>Mujer</x:v>
      </x:c>
      <x:c r="D1538" t="str">
        <x:v>g) 30 a 34 años</x:v>
      </x:c>
      <x:c r="E1538" s="1" t="n">
        <x:v>30882</x:v>
      </x:c>
    </x:row>
    <x:row r="1539">
      <x:c r="A1539" t="str">
        <x:v>ALVARO OBREGON</x:v>
      </x:c>
      <x:c r="B1539" t="str">
        <x:v>Álvaro Obregón</x:v>
      </x:c>
      <x:c r="C1539" t="str">
        <x:v>Mujer</x:v>
      </x:c>
      <x:c r="D1539" t="str">
        <x:v>h) 35 a 39 años</x:v>
      </x:c>
      <x:c r="E1539" s="1" t="n">
        <x:v>29839</x:v>
      </x:c>
    </x:row>
    <x:row r="1540">
      <x:c r="A1540" t="str">
        <x:v>ALVARO OBREGON</x:v>
      </x:c>
      <x:c r="B1540" t="str">
        <x:v>Álvaro Obregón</x:v>
      </x:c>
      <x:c r="C1540" t="str">
        <x:v>Mujer</x:v>
      </x:c>
      <x:c r="D1540" t="str">
        <x:v>i) 40 a 44 años</x:v>
      </x:c>
      <x:c r="E1540" s="1" t="n">
        <x:v>29196</x:v>
      </x:c>
    </x:row>
    <x:row r="1541">
      <x:c r="A1541" t="str">
        <x:v>ALVARO OBREGON</x:v>
      </x:c>
      <x:c r="B1541" t="str">
        <x:v>Álvaro Obregón</x:v>
      </x:c>
      <x:c r="C1541" t="str">
        <x:v>Mujer</x:v>
      </x:c>
      <x:c r="D1541" t="str">
        <x:v>j) 45 a 49 años</x:v>
      </x:c>
      <x:c r="E1541" s="1" t="n">
        <x:v>29922</x:v>
      </x:c>
    </x:row>
    <x:row r="1542">
      <x:c r="A1542" t="str">
        <x:v>ALVARO OBREGON</x:v>
      </x:c>
      <x:c r="B1542" t="str">
        <x:v>Álvaro Obregón</x:v>
      </x:c>
      <x:c r="C1542" t="str">
        <x:v>Mujer</x:v>
      </x:c>
      <x:c r="D1542" t="str">
        <x:v>k) 50 a 54 años</x:v>
      </x:c>
      <x:c r="E1542" s="1" t="n">
        <x:v>28590</x:v>
      </x:c>
    </x:row>
    <x:row r="1543">
      <x:c r="A1543" t="str">
        <x:v>ALVARO OBREGON</x:v>
      </x:c>
      <x:c r="B1543" t="str">
        <x:v>Álvaro Obregón</x:v>
      </x:c>
      <x:c r="C1543" t="str">
        <x:v>Mujer</x:v>
      </x:c>
      <x:c r="D1543" t="str">
        <x:v>l) 55 a 59 años</x:v>
      </x:c>
      <x:c r="E1543" s="1" t="n">
        <x:v>23886</x:v>
      </x:c>
    </x:row>
    <x:row r="1544">
      <x:c r="A1544" t="str">
        <x:v>ALVARO OBREGON</x:v>
      </x:c>
      <x:c r="B1544" t="str">
        <x:v>Álvaro Obregón</x:v>
      </x:c>
      <x:c r="C1544" t="str">
        <x:v>Mujer</x:v>
      </x:c>
      <x:c r="D1544" t="str">
        <x:v>m) 60 a 64 años</x:v>
      </x:c>
      <x:c r="E1544" s="1" t="n">
        <x:v>21281</x:v>
      </x:c>
    </x:row>
    <x:row r="1545">
      <x:c r="A1545" t="str">
        <x:v>ALVARO OBREGON</x:v>
      </x:c>
      <x:c r="B1545" t="str">
        <x:v>Álvaro Obregón</x:v>
      </x:c>
      <x:c r="C1545" t="str">
        <x:v>Mujer</x:v>
      </x:c>
      <x:c r="D1545" t="str">
        <x:v>n) 65 a 69 años</x:v>
      </x:c>
      <x:c r="E1545" s="1" t="n">
        <x:v>16316</x:v>
      </x:c>
    </x:row>
    <x:row r="1546">
      <x:c r="A1546" t="str">
        <x:v>ALVARO OBREGON</x:v>
      </x:c>
      <x:c r="B1546" t="str">
        <x:v>Álvaro Obregón</x:v>
      </x:c>
      <x:c r="C1546" t="str">
        <x:v>Mujer</x:v>
      </x:c>
      <x:c r="D1546" t="str">
        <x:v>o) 70 a 74 años</x:v>
      </x:c>
      <x:c r="E1546" s="1" t="n">
        <x:v>12283</x:v>
      </x:c>
    </x:row>
    <x:row r="1547">
      <x:c r="A1547" t="str">
        <x:v>ALVARO OBREGON</x:v>
      </x:c>
      <x:c r="B1547" t="str">
        <x:v>Álvaro Obregón</x:v>
      </x:c>
      <x:c r="C1547" t="str">
        <x:v>Mujer</x:v>
      </x:c>
      <x:c r="D1547" t="str">
        <x:v>p) 75 a 79 años</x:v>
      </x:c>
      <x:c r="E1547" s="1" t="n">
        <x:v>8216</x:v>
      </x:c>
    </x:row>
    <x:row r="1548">
      <x:c r="A1548" t="str">
        <x:v>ALVARO OBREGON</x:v>
      </x:c>
      <x:c r="B1548" t="str">
        <x:v>Álvaro Obregón</x:v>
      </x:c>
      <x:c r="C1548" t="str">
        <x:v>Mujer</x:v>
      </x:c>
      <x:c r="D1548" t="str">
        <x:v>q) 80 a 84 años</x:v>
      </x:c>
      <x:c r="E1548" s="1" t="n">
        <x:v>5849</x:v>
      </x:c>
    </x:row>
    <x:row r="1549">
      <x:c r="A1549" t="str">
        <x:v>ALVARO OBREGON</x:v>
      </x:c>
      <x:c r="B1549" t="str">
        <x:v>Álvaro Obregón</x:v>
      </x:c>
      <x:c r="C1549" t="str">
        <x:v>Mujer</x:v>
      </x:c>
      <x:c r="D1549" t="str">
        <x:v>r) 85 años y más</x:v>
      </x:c>
      <x:c r="E1549" s="1" t="n">
        <x:v>5654</x:v>
      </x:c>
    </x:row>
    <x:row r="1550">
      <x:c r="A1550" t="str">
        <x:v>TLAHUAC</x:v>
      </x:c>
      <x:c r="B1550" t="str">
        <x:v>Tláhuac</x:v>
      </x:c>
      <x:c r="C1550" t="str">
        <x:v>Hombre</x:v>
      </x:c>
      <x:c r="D1550" t="str">
        <x:v>a) 0 a 4 años</x:v>
      </x:c>
      <x:c r="E1550" s="1" t="n">
        <x:v>9697</x:v>
      </x:c>
    </x:row>
    <x:row r="1551">
      <x:c r="A1551" t="str">
        <x:v>TLAHUAC</x:v>
      </x:c>
      <x:c r="B1551" t="str">
        <x:v>Tláhuac</x:v>
      </x:c>
      <x:c r="C1551" t="str">
        <x:v>Hombre</x:v>
      </x:c>
      <x:c r="D1551" t="str">
        <x:v>b) 5 a 9 años</x:v>
      </x:c>
      <x:c r="E1551" s="1" t="n">
        <x:v>12081</x:v>
      </x:c>
    </x:row>
    <x:row r="1552">
      <x:c r="A1552" t="str">
        <x:v>TLAHUAC</x:v>
      </x:c>
      <x:c r="B1552" t="str">
        <x:v>Tláhuac</x:v>
      </x:c>
      <x:c r="C1552" t="str">
        <x:v>Hombre</x:v>
      </x:c>
      <x:c r="D1552" t="str">
        <x:v>c) 10 a 14 años</x:v>
      </x:c>
      <x:c r="E1552" s="1" t="n">
        <x:v>12829</x:v>
      </x:c>
    </x:row>
    <x:row r="1553">
      <x:c r="A1553" t="str">
        <x:v>TLAHUAC</x:v>
      </x:c>
      <x:c r="B1553" t="str">
        <x:v>Tláhuac</x:v>
      </x:c>
      <x:c r="C1553" t="str">
        <x:v>Hombre</x:v>
      </x:c>
      <x:c r="D1553" t="str">
        <x:v>d) 15 a 19 años</x:v>
      </x:c>
      <x:c r="E1553" s="1" t="n">
        <x:v>13610</x:v>
      </x:c>
    </x:row>
    <x:row r="1554">
      <x:c r="A1554" t="str">
        <x:v>TLAHUAC</x:v>
      </x:c>
      <x:c r="B1554" t="str">
        <x:v>Tláhuac</x:v>
      </x:c>
      <x:c r="C1554" t="str">
        <x:v>Hombre</x:v>
      </x:c>
      <x:c r="D1554" t="str">
        <x:v>e) 20 a 24 años</x:v>
      </x:c>
      <x:c r="E1554" s="1" t="n">
        <x:v>13979</x:v>
      </x:c>
    </x:row>
    <x:row r="1555">
      <x:c r="A1555" t="str">
        <x:v>TLAHUAC</x:v>
      </x:c>
      <x:c r="B1555" t="str">
        <x:v>Tláhuac</x:v>
      </x:c>
      <x:c r="C1555" t="str">
        <x:v>Hombre</x:v>
      </x:c>
      <x:c r="D1555" t="str">
        <x:v>f) 25 a 29 años</x:v>
      </x:c>
      <x:c r="E1555" s="1" t="n">
        <x:v>13608</x:v>
      </x:c>
    </x:row>
    <x:row r="1556">
      <x:c r="A1556" t="str">
        <x:v>TLAHUAC</x:v>
      </x:c>
      <x:c r="B1556" t="str">
        <x:v>Tláhuac</x:v>
      </x:c>
      <x:c r="C1556" t="str">
        <x:v>Hombre</x:v>
      </x:c>
      <x:c r="D1556" t="str">
        <x:v>g) 30 a 34 años</x:v>
      </x:c>
      <x:c r="E1556" s="1" t="n">
        <x:v>12149</x:v>
      </x:c>
    </x:row>
    <x:row r="1557">
      <x:c r="A1557" t="str">
        <x:v>TLAHUAC</x:v>
      </x:c>
      <x:c r="B1557" t="str">
        <x:v>Tláhuac</x:v>
      </x:c>
      <x:c r="C1557" t="str">
        <x:v>Hombre</x:v>
      </x:c>
      <x:c r="D1557" t="str">
        <x:v>h) 35 a 39 años</x:v>
      </x:c>
      <x:c r="E1557" s="1" t="n">
        <x:v>11337</x:v>
      </x:c>
    </x:row>
    <x:row r="1558">
      <x:c r="A1558" t="str">
        <x:v>TLAHUAC</x:v>
      </x:c>
      <x:c r="B1558" t="str">
        <x:v>Tláhuac</x:v>
      </x:c>
      <x:c r="C1558" t="str">
        <x:v>Hombre</x:v>
      </x:c>
      <x:c r="D1558" t="str">
        <x:v>i) 40 a 44 años</x:v>
      </x:c>
      <x:c r="E1558" s="1" t="n">
        <x:v>10769</x:v>
      </x:c>
    </x:row>
    <x:row r="1559">
      <x:c r="A1559" t="str">
        <x:v>TLAHUAC</x:v>
      </x:c>
      <x:c r="B1559" t="str">
        <x:v>Tláhuac</x:v>
      </x:c>
      <x:c r="C1559" t="str">
        <x:v>Hombre</x:v>
      </x:c>
      <x:c r="D1559" t="str">
        <x:v>j) 45 a 49 años</x:v>
      </x:c>
      <x:c r="E1559" s="1" t="n">
        <x:v>10834</x:v>
      </x:c>
    </x:row>
    <x:row r="1560">
      <x:c r="A1560" t="str">
        <x:v>TLAHUAC</x:v>
      </x:c>
      <x:c r="B1560" t="str">
        <x:v>Tláhuac</x:v>
      </x:c>
      <x:c r="C1560" t="str">
        <x:v>Hombre</x:v>
      </x:c>
      <x:c r="D1560" t="str">
        <x:v>k) 50 a 54 años</x:v>
      </x:c>
      <x:c r="E1560" s="1" t="n">
        <x:v>10075</x:v>
      </x:c>
    </x:row>
    <x:row r="1561">
      <x:c r="A1561" t="str">
        <x:v>TLAHUAC</x:v>
      </x:c>
      <x:c r="B1561" t="str">
        <x:v>Tláhuac</x:v>
      </x:c>
      <x:c r="C1561" t="str">
        <x:v>Hombre</x:v>
      </x:c>
      <x:c r="D1561" t="str">
        <x:v>l) 55 a 59 años</x:v>
      </x:c>
      <x:c r="E1561" s="1" t="n">
        <x:v>8052</x:v>
      </x:c>
    </x:row>
    <x:row r="1562">
      <x:c r="A1562" t="str">
        <x:v>TLAHUAC</x:v>
      </x:c>
      <x:c r="B1562" t="str">
        <x:v>Tláhuac</x:v>
      </x:c>
      <x:c r="C1562" t="str">
        <x:v>Hombre</x:v>
      </x:c>
      <x:c r="D1562" t="str">
        <x:v>m) 60 a 64 años</x:v>
      </x:c>
      <x:c r="E1562" s="1" t="n">
        <x:v>6431</x:v>
      </x:c>
    </x:row>
    <x:row r="1563">
      <x:c r="A1563" t="str">
        <x:v>TLAHUAC</x:v>
      </x:c>
      <x:c r="B1563" t="str">
        <x:v>Tláhuac</x:v>
      </x:c>
      <x:c r="C1563" t="str">
        <x:v>Hombre</x:v>
      </x:c>
      <x:c r="D1563" t="str">
        <x:v>n) 65 a 69 años</x:v>
      </x:c>
      <x:c r="E1563" s="1" t="n">
        <x:v>4507</x:v>
      </x:c>
    </x:row>
    <x:row r="1564">
      <x:c r="A1564" t="str">
        <x:v>TLAHUAC</x:v>
      </x:c>
      <x:c r="B1564" t="str">
        <x:v>Tláhuac</x:v>
      </x:c>
      <x:c r="C1564" t="str">
        <x:v>Hombre</x:v>
      </x:c>
      <x:c r="D1564" t="str">
        <x:v>o) 70 a 74 años</x:v>
      </x:c>
      <x:c r="E1564" s="1" t="n">
        <x:v>3012</x:v>
      </x:c>
    </x:row>
    <x:row r="1565">
      <x:c r="A1565" t="str">
        <x:v>TLAHUAC</x:v>
      </x:c>
      <x:c r="B1565" t="str">
        <x:v>Tláhuac</x:v>
      </x:c>
      <x:c r="C1565" t="str">
        <x:v>Hombre</x:v>
      </x:c>
      <x:c r="D1565" t="str">
        <x:v>p) 75 a 79 años</x:v>
      </x:c>
      <x:c r="E1565" s="1" t="n">
        <x:v>1701</x:v>
      </x:c>
    </x:row>
    <x:row r="1566">
      <x:c r="A1566" t="str">
        <x:v>TLAHUAC</x:v>
      </x:c>
      <x:c r="B1566" t="str">
        <x:v>Tláhuac</x:v>
      </x:c>
      <x:c r="C1566" t="str">
        <x:v>Hombre</x:v>
      </x:c>
      <x:c r="D1566" t="str">
        <x:v>q) 80 a 84 años</x:v>
      </x:c>
      <x:c r="E1566" s="1" t="n">
        <x:v>1017</x:v>
      </x:c>
    </x:row>
    <x:row r="1567">
      <x:c r="A1567" t="str">
        <x:v>TLAHUAC</x:v>
      </x:c>
      <x:c r="B1567" t="str">
        <x:v>Tláhuac</x:v>
      </x:c>
      <x:c r="C1567" t="str">
        <x:v>Hombre</x:v>
      </x:c>
      <x:c r="D1567" t="str">
        <x:v>r) 85 años y más</x:v>
      </x:c>
      <x:c r="E1567" s="1" t="n">
        <x:v>750</x:v>
      </x:c>
    </x:row>
    <x:row r="1568">
      <x:c r="A1568" t="str">
        <x:v>TLAHUAC</x:v>
      </x:c>
      <x:c r="B1568" t="str">
        <x:v>Tláhuac</x:v>
      </x:c>
      <x:c r="C1568" t="str">
        <x:v>Mujer</x:v>
      </x:c>
      <x:c r="D1568" t="str">
        <x:v>a) 0 a 4 años</x:v>
      </x:c>
      <x:c r="E1568" s="1" t="n">
        <x:v>9427</x:v>
      </x:c>
    </x:row>
    <x:row r="1569">
      <x:c r="A1569" t="str">
        <x:v>TLAHUAC</x:v>
      </x:c>
      <x:c r="B1569" t="str">
        <x:v>Tláhuac</x:v>
      </x:c>
      <x:c r="C1569" t="str">
        <x:v>Mujer</x:v>
      </x:c>
      <x:c r="D1569" t="str">
        <x:v>b) 5 a 9 años</x:v>
      </x:c>
      <x:c r="E1569" s="1" t="n">
        <x:v>11543</x:v>
      </x:c>
    </x:row>
    <x:row r="1570">
      <x:c r="A1570" t="str">
        <x:v>TLAHUAC</x:v>
      </x:c>
      <x:c r="B1570" t="str">
        <x:v>Tláhuac</x:v>
      </x:c>
      <x:c r="C1570" t="str">
        <x:v>Mujer</x:v>
      </x:c>
      <x:c r="D1570" t="str">
        <x:v>c) 10 a 14 años</x:v>
      </x:c>
      <x:c r="E1570" s="1" t="n">
        <x:v>12415</x:v>
      </x:c>
    </x:row>
    <x:row r="1571">
      <x:c r="A1571" t="str">
        <x:v>TLAHUAC</x:v>
      </x:c>
      <x:c r="B1571" t="str">
        <x:v>Tláhuac</x:v>
      </x:c>
      <x:c r="C1571" t="str">
        <x:v>Mujer</x:v>
      </x:c>
      <x:c r="D1571" t="str">
        <x:v>d) 15 a 19 años</x:v>
      </x:c>
      <x:c r="E1571" s="1" t="n">
        <x:v>12841</x:v>
      </x:c>
    </x:row>
    <x:row r="1572">
      <x:c r="A1572" t="str">
        <x:v>TLAHUAC</x:v>
      </x:c>
      <x:c r="B1572" t="str">
        <x:v>Tláhuac</x:v>
      </x:c>
      <x:c r="C1572" t="str">
        <x:v>Mujer</x:v>
      </x:c>
      <x:c r="D1572" t="str">
        <x:v>e) 20 a 24 años</x:v>
      </x:c>
      <x:c r="E1572" s="1" t="n">
        <x:v>13672</x:v>
      </x:c>
    </x:row>
    <x:row r="1573">
      <x:c r="A1573" t="str">
        <x:v>TLAHUAC</x:v>
      </x:c>
      <x:c r="B1573" t="str">
        <x:v>Tláhuac</x:v>
      </x:c>
      <x:c r="C1573" t="str">
        <x:v>Mujer</x:v>
      </x:c>
      <x:c r="D1573" t="str">
        <x:v>f) 25 a 29 años</x:v>
      </x:c>
      <x:c r="E1573" s="1" t="n">
        <x:v>14032</x:v>
      </x:c>
    </x:row>
    <x:row r="1574">
      <x:c r="A1574" t="str">
        <x:v>TLAHUAC</x:v>
      </x:c>
      <x:c r="B1574" t="str">
        <x:v>Tláhuac</x:v>
      </x:c>
      <x:c r="C1574" t="str">
        <x:v>Mujer</x:v>
      </x:c>
      <x:c r="D1574" t="str">
        <x:v>g) 30 a 34 años</x:v>
      </x:c>
      <x:c r="E1574" s="1" t="n">
        <x:v>13163</x:v>
      </x:c>
    </x:row>
    <x:row r="1575">
      <x:c r="A1575" t="str">
        <x:v>TLAHUAC</x:v>
      </x:c>
      <x:c r="B1575" t="str">
        <x:v>Tláhuac</x:v>
      </x:c>
      <x:c r="C1575" t="str">
        <x:v>Mujer</x:v>
      </x:c>
      <x:c r="D1575" t="str">
        <x:v>h) 35 a 39 años</x:v>
      </x:c>
      <x:c r="E1575" s="1" t="n">
        <x:v>12511</x:v>
      </x:c>
    </x:row>
    <x:row r="1576">
      <x:c r="A1576" t="str">
        <x:v>TLAHUAC</x:v>
      </x:c>
      <x:c r="B1576" t="str">
        <x:v>Tláhuac</x:v>
      </x:c>
      <x:c r="C1576" t="str">
        <x:v>Mujer</x:v>
      </x:c>
      <x:c r="D1576" t="str">
        <x:v>i) 40 a 44 años</x:v>
      </x:c>
      <x:c r="E1576" s="1" t="n">
        <x:v>12242</x:v>
      </x:c>
    </x:row>
    <x:row r="1577">
      <x:c r="A1577" t="str">
        <x:v>TLAHUAC</x:v>
      </x:c>
      <x:c r="B1577" t="str">
        <x:v>Tláhuac</x:v>
      </x:c>
      <x:c r="C1577" t="str">
        <x:v>Mujer</x:v>
      </x:c>
      <x:c r="D1577" t="str">
        <x:v>j) 45 a 49 años</x:v>
      </x:c>
      <x:c r="E1577" s="1" t="n">
        <x:v>12730</x:v>
      </x:c>
    </x:row>
    <x:row r="1578">
      <x:c r="A1578" t="str">
        <x:v>TLAHUAC</x:v>
      </x:c>
      <x:c r="B1578" t="str">
        <x:v>Tláhuac</x:v>
      </x:c>
      <x:c r="C1578" t="str">
        <x:v>Mujer</x:v>
      </x:c>
      <x:c r="D1578" t="str">
        <x:v>k) 50 a 54 años</x:v>
      </x:c>
      <x:c r="E1578" s="1" t="n">
        <x:v>11807</x:v>
      </x:c>
    </x:row>
    <x:row r="1579">
      <x:c r="A1579" t="str">
        <x:v>TLAHUAC</x:v>
      </x:c>
      <x:c r="B1579" t="str">
        <x:v>Tláhuac</x:v>
      </x:c>
      <x:c r="C1579" t="str">
        <x:v>Mujer</x:v>
      </x:c>
      <x:c r="D1579" t="str">
        <x:v>l) 55 a 59 años</x:v>
      </x:c>
      <x:c r="E1579" s="1" t="n">
        <x:v>9369</x:v>
      </x:c>
    </x:row>
    <x:row r="1580">
      <x:c r="A1580" t="str">
        <x:v>TLAHUAC</x:v>
      </x:c>
      <x:c r="B1580" t="str">
        <x:v>Tláhuac</x:v>
      </x:c>
      <x:c r="C1580" t="str">
        <x:v>Mujer</x:v>
      </x:c>
      <x:c r="D1580" t="str">
        <x:v>m) 60 a 64 años</x:v>
      </x:c>
      <x:c r="E1580" s="1" t="n">
        <x:v>7553</x:v>
      </x:c>
    </x:row>
    <x:row r="1581">
      <x:c r="A1581" t="str">
        <x:v>TLAHUAC</x:v>
      </x:c>
      <x:c r="B1581" t="str">
        <x:v>Tláhuac</x:v>
      </x:c>
      <x:c r="C1581" t="str">
        <x:v>Mujer</x:v>
      </x:c>
      <x:c r="D1581" t="str">
        <x:v>n) 65 a 69 años</x:v>
      </x:c>
      <x:c r="E1581" s="1" t="n">
        <x:v>5176</x:v>
      </x:c>
    </x:row>
    <x:row r="1582">
      <x:c r="A1582" t="str">
        <x:v>TLAHUAC</x:v>
      </x:c>
      <x:c r="B1582" t="str">
        <x:v>Tláhuac</x:v>
      </x:c>
      <x:c r="C1582" t="str">
        <x:v>Mujer</x:v>
      </x:c>
      <x:c r="D1582" t="str">
        <x:v>o) 70 a 74 años</x:v>
      </x:c>
      <x:c r="E1582" s="1" t="n">
        <x:v>3727</x:v>
      </x:c>
    </x:row>
    <x:row r="1583">
      <x:c r="A1583" t="str">
        <x:v>TLAHUAC</x:v>
      </x:c>
      <x:c r="B1583" t="str">
        <x:v>Tláhuac</x:v>
      </x:c>
      <x:c r="C1583" t="str">
        <x:v>Mujer</x:v>
      </x:c>
      <x:c r="D1583" t="str">
        <x:v>p) 75 a 79 años</x:v>
      </x:c>
      <x:c r="E1583" s="1" t="n">
        <x:v>2184</x:v>
      </x:c>
    </x:row>
    <x:row r="1584">
      <x:c r="A1584" t="str">
        <x:v>TLAHUAC</x:v>
      </x:c>
      <x:c r="B1584" t="str">
        <x:v>Tláhuac</x:v>
      </x:c>
      <x:c r="C1584" t="str">
        <x:v>Mujer</x:v>
      </x:c>
      <x:c r="D1584" t="str">
        <x:v>q) 80 a 84 años</x:v>
      </x:c>
      <x:c r="E1584" s="1" t="n">
        <x:v>1501</x:v>
      </x:c>
    </x:row>
    <x:row r="1585">
      <x:c r="A1585" t="str">
        <x:v>TLAHUAC</x:v>
      </x:c>
      <x:c r="B1585" t="str">
        <x:v>Tláhuac</x:v>
      </x:c>
      <x:c r="C1585" t="str">
        <x:v>Mujer</x:v>
      </x:c>
      <x:c r="D1585" t="str">
        <x:v>r) 85 años y más</x:v>
      </x:c>
      <x:c r="E1585" s="1" t="n">
        <x:v>1319</x:v>
      </x:c>
    </x:row>
    <x:row r="1586">
      <x:c r="A1586" t="str">
        <x:v>TLAHUAC</x:v>
      </x:c>
      <x:c r="B1586" t="str">
        <x:v>San Andrés Mixquic</x:v>
      </x:c>
      <x:c r="C1586" t="str">
        <x:v>Hombre</x:v>
      </x:c>
      <x:c r="D1586" t="str">
        <x:v>a) 0 a 4 años</x:v>
      </x:c>
      <x:c r="E1586" s="1" t="n">
        <x:v>460</x:v>
      </x:c>
    </x:row>
    <x:row r="1587">
      <x:c r="A1587" t="str">
        <x:v>TLAHUAC</x:v>
      </x:c>
      <x:c r="B1587" t="str">
        <x:v>San Andrés Mixquic</x:v>
      </x:c>
      <x:c r="C1587" t="str">
        <x:v>Hombre</x:v>
      </x:c>
      <x:c r="D1587" t="str">
        <x:v>b) 5 a 9 años</x:v>
      </x:c>
      <x:c r="E1587" s="1" t="n">
        <x:v>501</x:v>
      </x:c>
    </x:row>
    <x:row r="1588">
      <x:c r="A1588" t="str">
        <x:v>TLAHUAC</x:v>
      </x:c>
      <x:c r="B1588" t="str">
        <x:v>San Andrés Mixquic</x:v>
      </x:c>
      <x:c r="C1588" t="str">
        <x:v>Hombre</x:v>
      </x:c>
      <x:c r="D1588" t="str">
        <x:v>c) 10 a 14 años</x:v>
      </x:c>
      <x:c r="E1588" s="1" t="n">
        <x:v>579</x:v>
      </x:c>
    </x:row>
    <x:row r="1589">
      <x:c r="A1589" t="str">
        <x:v>TLAHUAC</x:v>
      </x:c>
      <x:c r="B1589" t="str">
        <x:v>San Andrés Mixquic</x:v>
      </x:c>
      <x:c r="C1589" t="str">
        <x:v>Hombre</x:v>
      </x:c>
      <x:c r="D1589" t="str">
        <x:v>d) 15 a 19 años</x:v>
      </x:c>
      <x:c r="E1589" s="1" t="n">
        <x:v>622</x:v>
      </x:c>
    </x:row>
    <x:row r="1590">
      <x:c r="A1590" t="str">
        <x:v>TLAHUAC</x:v>
      </x:c>
      <x:c r="B1590" t="str">
        <x:v>San Andrés Mixquic</x:v>
      </x:c>
      <x:c r="C1590" t="str">
        <x:v>Hombre</x:v>
      </x:c>
      <x:c r="D1590" t="str">
        <x:v>e) 20 a 24 años</x:v>
      </x:c>
      <x:c r="E1590" s="1" t="n">
        <x:v>586</x:v>
      </x:c>
    </x:row>
    <x:row r="1591">
      <x:c r="A1591" t="str">
        <x:v>TLAHUAC</x:v>
      </x:c>
      <x:c r="B1591" t="str">
        <x:v>San Andrés Mixquic</x:v>
      </x:c>
      <x:c r="C1591" t="str">
        <x:v>Hombre</x:v>
      </x:c>
      <x:c r="D1591" t="str">
        <x:v>f) 25 a 29 años</x:v>
      </x:c>
      <x:c r="E1591" s="1" t="n">
        <x:v>548</x:v>
      </x:c>
    </x:row>
    <x:row r="1592">
      <x:c r="A1592" t="str">
        <x:v>TLAHUAC</x:v>
      </x:c>
      <x:c r="B1592" t="str">
        <x:v>San Andrés Mixquic</x:v>
      </x:c>
      <x:c r="C1592" t="str">
        <x:v>Hombre</x:v>
      </x:c>
      <x:c r="D1592" t="str">
        <x:v>g) 30 a 34 años</x:v>
      </x:c>
      <x:c r="E1592" s="1" t="n">
        <x:v>508</x:v>
      </x:c>
    </x:row>
    <x:row r="1593">
      <x:c r="A1593" t="str">
        <x:v>TLAHUAC</x:v>
      </x:c>
      <x:c r="B1593" t="str">
        <x:v>San Andrés Mixquic</x:v>
      </x:c>
      <x:c r="C1593" t="str">
        <x:v>Hombre</x:v>
      </x:c>
      <x:c r="D1593" t="str">
        <x:v>h) 35 a 39 años</x:v>
      </x:c>
      <x:c r="E1593" s="1" t="n">
        <x:v>529</x:v>
      </x:c>
    </x:row>
    <x:row r="1594">
      <x:c r="A1594" t="str">
        <x:v>TLAHUAC</x:v>
      </x:c>
      <x:c r="B1594" t="str">
        <x:v>San Andrés Mixquic</x:v>
      </x:c>
      <x:c r="C1594" t="str">
        <x:v>Hombre</x:v>
      </x:c>
      <x:c r="D1594" t="str">
        <x:v>i) 40 a 44 años</x:v>
      </x:c>
      <x:c r="E1594" s="1" t="n">
        <x:v>478</x:v>
      </x:c>
    </x:row>
    <x:row r="1595">
      <x:c r="A1595" t="str">
        <x:v>TLAHUAC</x:v>
      </x:c>
      <x:c r="B1595" t="str">
        <x:v>San Andrés Mixquic</x:v>
      </x:c>
      <x:c r="C1595" t="str">
        <x:v>Hombre</x:v>
      </x:c>
      <x:c r="D1595" t="str">
        <x:v>j) 45 a 49 años</x:v>
      </x:c>
      <x:c r="E1595" s="1" t="n">
        <x:v>451</x:v>
      </x:c>
    </x:row>
    <x:row r="1596">
      <x:c r="A1596" t="str">
        <x:v>TLAHUAC</x:v>
      </x:c>
      <x:c r="B1596" t="str">
        <x:v>San Andrés Mixquic</x:v>
      </x:c>
      <x:c r="C1596" t="str">
        <x:v>Hombre</x:v>
      </x:c>
      <x:c r="D1596" t="str">
        <x:v>k) 50 a 54 años</x:v>
      </x:c>
      <x:c r="E1596" s="1" t="n">
        <x:v>414</x:v>
      </x:c>
    </x:row>
    <x:row r="1597">
      <x:c r="A1597" t="str">
        <x:v>TLAHUAC</x:v>
      </x:c>
      <x:c r="B1597" t="str">
        <x:v>San Andrés Mixquic</x:v>
      </x:c>
      <x:c r="C1597" t="str">
        <x:v>Hombre</x:v>
      </x:c>
      <x:c r="D1597" t="str">
        <x:v>l) 55 a 59 años</x:v>
      </x:c>
      <x:c r="E1597" s="1" t="n">
        <x:v>357</x:v>
      </x:c>
    </x:row>
    <x:row r="1598">
      <x:c r="A1598" t="str">
        <x:v>TLAHUAC</x:v>
      </x:c>
      <x:c r="B1598" t="str">
        <x:v>San Andrés Mixquic</x:v>
      </x:c>
      <x:c r="C1598" t="str">
        <x:v>Hombre</x:v>
      </x:c>
      <x:c r="D1598" t="str">
        <x:v>m) 60 a 64 años</x:v>
      </x:c>
      <x:c r="E1598" s="1" t="n">
        <x:v>254</x:v>
      </x:c>
    </x:row>
    <x:row r="1599">
      <x:c r="A1599" t="str">
        <x:v>TLAHUAC</x:v>
      </x:c>
      <x:c r="B1599" t="str">
        <x:v>San Andrés Mixquic</x:v>
      </x:c>
      <x:c r="C1599" t="str">
        <x:v>Hombre</x:v>
      </x:c>
      <x:c r="D1599" t="str">
        <x:v>n) 65 a 69 años</x:v>
      </x:c>
      <x:c r="E1599" s="1" t="n">
        <x:v>211</x:v>
      </x:c>
    </x:row>
    <x:row r="1600">
      <x:c r="A1600" t="str">
        <x:v>TLAHUAC</x:v>
      </x:c>
      <x:c r="B1600" t="str">
        <x:v>San Andrés Mixquic</x:v>
      </x:c>
      <x:c r="C1600" t="str">
        <x:v>Hombre</x:v>
      </x:c>
      <x:c r="D1600" t="str">
        <x:v>o) 70 a 74 años</x:v>
      </x:c>
      <x:c r="E1600" s="1" t="n">
        <x:v>131</x:v>
      </x:c>
    </x:row>
    <x:row r="1601">
      <x:c r="A1601" t="str">
        <x:v>TLAHUAC</x:v>
      </x:c>
      <x:c r="B1601" t="str">
        <x:v>San Andrés Mixquic</x:v>
      </x:c>
      <x:c r="C1601" t="str">
        <x:v>Hombre</x:v>
      </x:c>
      <x:c r="D1601" t="str">
        <x:v>p) 75 a 79 años</x:v>
      </x:c>
      <x:c r="E1601" s="1" t="n">
        <x:v>90</x:v>
      </x:c>
    </x:row>
    <x:row r="1602">
      <x:c r="A1602" t="str">
        <x:v>TLAHUAC</x:v>
      </x:c>
      <x:c r="B1602" t="str">
        <x:v>San Andrés Mixquic</x:v>
      </x:c>
      <x:c r="C1602" t="str">
        <x:v>Hombre</x:v>
      </x:c>
      <x:c r="D1602" t="str">
        <x:v>q) 80 a 84 años</x:v>
      </x:c>
      <x:c r="E1602" s="1" t="n">
        <x:v>52</x:v>
      </x:c>
    </x:row>
    <x:row r="1603">
      <x:c r="A1603" t="str">
        <x:v>TLAHUAC</x:v>
      </x:c>
      <x:c r="B1603" t="str">
        <x:v>San Andrés Mixquic</x:v>
      </x:c>
      <x:c r="C1603" t="str">
        <x:v>Hombre</x:v>
      </x:c>
      <x:c r="D1603" t="str">
        <x:v>r) 85 años y más</x:v>
      </x:c>
      <x:c r="E1603" s="1" t="n">
        <x:v>48</x:v>
      </x:c>
    </x:row>
    <x:row r="1604">
      <x:c r="A1604" t="str">
        <x:v>TLAHUAC</x:v>
      </x:c>
      <x:c r="B1604" t="str">
        <x:v>San Andrés Mixquic</x:v>
      </x:c>
      <x:c r="C1604" t="str">
        <x:v>Mujer</x:v>
      </x:c>
      <x:c r="D1604" t="str">
        <x:v>a) 0 a 4 años</x:v>
      </x:c>
      <x:c r="E1604" s="1" t="n">
        <x:v>426</x:v>
      </x:c>
    </x:row>
    <x:row r="1605">
      <x:c r="A1605" t="str">
        <x:v>TLAHUAC</x:v>
      </x:c>
      <x:c r="B1605" t="str">
        <x:v>San Andrés Mixquic</x:v>
      </x:c>
      <x:c r="C1605" t="str">
        <x:v>Mujer</x:v>
      </x:c>
      <x:c r="D1605" t="str">
        <x:v>b) 5 a 9 años</x:v>
      </x:c>
      <x:c r="E1605" s="1" t="n">
        <x:v>497</x:v>
      </x:c>
    </x:row>
    <x:row r="1606">
      <x:c r="A1606" t="str">
        <x:v>TLAHUAC</x:v>
      </x:c>
      <x:c r="B1606" t="str">
        <x:v>San Andrés Mixquic</x:v>
      </x:c>
      <x:c r="C1606" t="str">
        <x:v>Mujer</x:v>
      </x:c>
      <x:c r="D1606" t="str">
        <x:v>c) 10 a 14 años</x:v>
      </x:c>
      <x:c r="E1606" s="1" t="n">
        <x:v>594</x:v>
      </x:c>
    </x:row>
    <x:row r="1607">
      <x:c r="A1607" t="str">
        <x:v>TLAHUAC</x:v>
      </x:c>
      <x:c r="B1607" t="str">
        <x:v>San Andrés Mixquic</x:v>
      </x:c>
      <x:c r="C1607" t="str">
        <x:v>Mujer</x:v>
      </x:c>
      <x:c r="D1607" t="str">
        <x:v>d) 15 a 19 años</x:v>
      </x:c>
      <x:c r="E1607" s="1" t="n">
        <x:v>581</x:v>
      </x:c>
    </x:row>
    <x:row r="1608">
      <x:c r="A1608" t="str">
        <x:v>TLAHUAC</x:v>
      </x:c>
      <x:c r="B1608" t="str">
        <x:v>San Andrés Mixquic</x:v>
      </x:c>
      <x:c r="C1608" t="str">
        <x:v>Mujer</x:v>
      </x:c>
      <x:c r="D1608" t="str">
        <x:v>e) 20 a 24 años</x:v>
      </x:c>
      <x:c r="E1608" s="1" t="n">
        <x:v>604</x:v>
      </x:c>
    </x:row>
    <x:row r="1609">
      <x:c r="A1609" t="str">
        <x:v>TLAHUAC</x:v>
      </x:c>
      <x:c r="B1609" t="str">
        <x:v>San Andrés Mixquic</x:v>
      </x:c>
      <x:c r="C1609" t="str">
        <x:v>Mujer</x:v>
      </x:c>
      <x:c r="D1609" t="str">
        <x:v>f) 25 a 29 años</x:v>
      </x:c>
      <x:c r="E1609" s="1" t="n">
        <x:v>543</x:v>
      </x:c>
    </x:row>
    <x:row r="1610">
      <x:c r="A1610" t="str">
        <x:v>TLAHUAC</x:v>
      </x:c>
      <x:c r="B1610" t="str">
        <x:v>San Andrés Mixquic</x:v>
      </x:c>
      <x:c r="C1610" t="str">
        <x:v>Mujer</x:v>
      </x:c>
      <x:c r="D1610" t="str">
        <x:v>g) 30 a 34 años</x:v>
      </x:c>
      <x:c r="E1610" s="1" t="n">
        <x:v>570</x:v>
      </x:c>
    </x:row>
    <x:row r="1611">
      <x:c r="A1611" t="str">
        <x:v>TLAHUAC</x:v>
      </x:c>
      <x:c r="B1611" t="str">
        <x:v>San Andrés Mixquic</x:v>
      </x:c>
      <x:c r="C1611" t="str">
        <x:v>Mujer</x:v>
      </x:c>
      <x:c r="D1611" t="str">
        <x:v>h) 35 a 39 años</x:v>
      </x:c>
      <x:c r="E1611" s="1" t="n">
        <x:v>513</x:v>
      </x:c>
    </x:row>
    <x:row r="1612">
      <x:c r="A1612" t="str">
        <x:v>TLAHUAC</x:v>
      </x:c>
      <x:c r="B1612" t="str">
        <x:v>San Andrés Mixquic</x:v>
      </x:c>
      <x:c r="C1612" t="str">
        <x:v>Mujer</x:v>
      </x:c>
      <x:c r="D1612" t="str">
        <x:v>i) 40 a 44 años</x:v>
      </x:c>
      <x:c r="E1612" s="1" t="n">
        <x:v>505</x:v>
      </x:c>
    </x:row>
    <x:row r="1613">
      <x:c r="A1613" t="str">
        <x:v>TLAHUAC</x:v>
      </x:c>
      <x:c r="B1613" t="str">
        <x:v>San Andrés Mixquic</x:v>
      </x:c>
      <x:c r="C1613" t="str">
        <x:v>Mujer</x:v>
      </x:c>
      <x:c r="D1613" t="str">
        <x:v>j) 45 a 49 años</x:v>
      </x:c>
      <x:c r="E1613" s="1" t="n">
        <x:v>478</x:v>
      </x:c>
    </x:row>
    <x:row r="1614">
      <x:c r="A1614" t="str">
        <x:v>TLAHUAC</x:v>
      </x:c>
      <x:c r="B1614" t="str">
        <x:v>San Andrés Mixquic</x:v>
      </x:c>
      <x:c r="C1614" t="str">
        <x:v>Mujer</x:v>
      </x:c>
      <x:c r="D1614" t="str">
        <x:v>k) 50 a 54 años</x:v>
      </x:c>
      <x:c r="E1614" s="1" t="n">
        <x:v>473</x:v>
      </x:c>
    </x:row>
    <x:row r="1615">
      <x:c r="A1615" t="str">
        <x:v>TLAHUAC</x:v>
      </x:c>
      <x:c r="B1615" t="str">
        <x:v>San Andrés Mixquic</x:v>
      </x:c>
      <x:c r="C1615" t="str">
        <x:v>Mujer</x:v>
      </x:c>
      <x:c r="D1615" t="str">
        <x:v>l) 55 a 59 años</x:v>
      </x:c>
      <x:c r="E1615" s="1" t="n">
        <x:v>358</x:v>
      </x:c>
    </x:row>
    <x:row r="1616">
      <x:c r="A1616" t="str">
        <x:v>TLAHUAC</x:v>
      </x:c>
      <x:c r="B1616" t="str">
        <x:v>San Andrés Mixquic</x:v>
      </x:c>
      <x:c r="C1616" t="str">
        <x:v>Mujer</x:v>
      </x:c>
      <x:c r="D1616" t="str">
        <x:v>m) 60 a 64 años</x:v>
      </x:c>
      <x:c r="E1616" s="1" t="n">
        <x:v>306</x:v>
      </x:c>
    </x:row>
    <x:row r="1617">
      <x:c r="A1617" t="str">
        <x:v>TLAHUAC</x:v>
      </x:c>
      <x:c r="B1617" t="str">
        <x:v>San Andrés Mixquic</x:v>
      </x:c>
      <x:c r="C1617" t="str">
        <x:v>Mujer</x:v>
      </x:c>
      <x:c r="D1617" t="str">
        <x:v>n) 65 a 69 años</x:v>
      </x:c>
      <x:c r="E1617" s="1" t="n">
        <x:v>220</x:v>
      </x:c>
    </x:row>
    <x:row r="1618">
      <x:c r="A1618" t="str">
        <x:v>TLAHUAC</x:v>
      </x:c>
      <x:c r="B1618" t="str">
        <x:v>San Andrés Mixquic</x:v>
      </x:c>
      <x:c r="C1618" t="str">
        <x:v>Mujer</x:v>
      </x:c>
      <x:c r="D1618" t="str">
        <x:v>o) 70 a 74 años</x:v>
      </x:c>
      <x:c r="E1618" s="1" t="n">
        <x:v>173</x:v>
      </x:c>
    </x:row>
    <x:row r="1619">
      <x:c r="A1619" t="str">
        <x:v>TLAHUAC</x:v>
      </x:c>
      <x:c r="B1619" t="str">
        <x:v>San Andrés Mixquic</x:v>
      </x:c>
      <x:c r="C1619" t="str">
        <x:v>Mujer</x:v>
      </x:c>
      <x:c r="D1619" t="str">
        <x:v>p) 75 a 79 años</x:v>
      </x:c>
      <x:c r="E1619" s="1" t="n">
        <x:v>96</x:v>
      </x:c>
    </x:row>
    <x:row r="1620">
      <x:c r="A1620" t="str">
        <x:v>TLAHUAC</x:v>
      </x:c>
      <x:c r="B1620" t="str">
        <x:v>San Andrés Mixquic</x:v>
      </x:c>
      <x:c r="C1620" t="str">
        <x:v>Mujer</x:v>
      </x:c>
      <x:c r="D1620" t="str">
        <x:v>q) 80 a 84 años</x:v>
      </x:c>
      <x:c r="E1620" s="1" t="n">
        <x:v>74</x:v>
      </x:c>
    </x:row>
    <x:row r="1621">
      <x:c r="A1621" t="str">
        <x:v>TLAHUAC</x:v>
      </x:c>
      <x:c r="B1621" t="str">
        <x:v>San Andrés Mixquic</x:v>
      </x:c>
      <x:c r="C1621" t="str">
        <x:v>Mujer</x:v>
      </x:c>
      <x:c r="D1621" t="str">
        <x:v>r) 85 años y más</x:v>
      </x:c>
      <x:c r="E1621" s="1" t="n">
        <x:v>64</x:v>
      </x:c>
    </x:row>
    <x:row r="1622">
      <x:c r="A1622" t="str">
        <x:v>TLAHUAC</x:v>
      </x:c>
      <x:c r="B1622" t="str">
        <x:v>San Juan Ixtayopan</x:v>
      </x:c>
      <x:c r="C1622" t="str">
        <x:v>Hombre</x:v>
      </x:c>
      <x:c r="D1622" t="str">
        <x:v>a) 0 a 4 años</x:v>
      </x:c>
      <x:c r="E1622" s="1" t="n">
        <x:v>895</x:v>
      </x:c>
    </x:row>
    <x:row r="1623">
      <x:c r="A1623" t="str">
        <x:v>TLAHUAC</x:v>
      </x:c>
      <x:c r="B1623" t="str">
        <x:v>San Juan Ixtayopan</x:v>
      </x:c>
      <x:c r="C1623" t="str">
        <x:v>Hombre</x:v>
      </x:c>
      <x:c r="D1623" t="str">
        <x:v>b) 5 a 9 años</x:v>
      </x:c>
      <x:c r="E1623" s="1" t="n">
        <x:v>1040</x:v>
      </x:c>
    </x:row>
    <x:row r="1624">
      <x:c r="A1624" t="str">
        <x:v>TLAHUAC</x:v>
      </x:c>
      <x:c r="B1624" t="str">
        <x:v>San Juan Ixtayopan</x:v>
      </x:c>
      <x:c r="C1624" t="str">
        <x:v>Hombre</x:v>
      </x:c>
      <x:c r="D1624" t="str">
        <x:v>c) 10 a 14 años</x:v>
      </x:c>
      <x:c r="E1624" s="1" t="n">
        <x:v>1221</x:v>
      </x:c>
    </x:row>
    <x:row r="1625">
      <x:c r="A1625" t="str">
        <x:v>TLAHUAC</x:v>
      </x:c>
      <x:c r="B1625" t="str">
        <x:v>San Juan Ixtayopan</x:v>
      </x:c>
      <x:c r="C1625" t="str">
        <x:v>Hombre</x:v>
      </x:c>
      <x:c r="D1625" t="str">
        <x:v>d) 15 a 19 años</x:v>
      </x:c>
      <x:c r="E1625" s="1" t="n">
        <x:v>1192</x:v>
      </x:c>
    </x:row>
    <x:row r="1626">
      <x:c r="A1626" t="str">
        <x:v>TLAHUAC</x:v>
      </x:c>
      <x:c r="B1626" t="str">
        <x:v>San Juan Ixtayopan</x:v>
      </x:c>
      <x:c r="C1626" t="str">
        <x:v>Hombre</x:v>
      </x:c>
      <x:c r="D1626" t="str">
        <x:v>e) 20 a 24 años</x:v>
      </x:c>
      <x:c r="E1626" s="1" t="n">
        <x:v>1205</x:v>
      </x:c>
    </x:row>
    <x:row r="1627">
      <x:c r="A1627" t="str">
        <x:v>TLAHUAC</x:v>
      </x:c>
      <x:c r="B1627" t="str">
        <x:v>San Juan Ixtayopan</x:v>
      </x:c>
      <x:c r="C1627" t="str">
        <x:v>Hombre</x:v>
      </x:c>
      <x:c r="D1627" t="str">
        <x:v>f) 25 a 29 años</x:v>
      </x:c>
      <x:c r="E1627" s="1" t="n">
        <x:v>1259</x:v>
      </x:c>
    </x:row>
    <x:row r="1628">
      <x:c r="A1628" t="str">
        <x:v>TLAHUAC</x:v>
      </x:c>
      <x:c r="B1628" t="str">
        <x:v>San Juan Ixtayopan</x:v>
      </x:c>
      <x:c r="C1628" t="str">
        <x:v>Hombre</x:v>
      </x:c>
      <x:c r="D1628" t="str">
        <x:v>g) 30 a 34 años</x:v>
      </x:c>
      <x:c r="E1628" s="1" t="n">
        <x:v>1054</x:v>
      </x:c>
    </x:row>
    <x:row r="1629">
      <x:c r="A1629" t="str">
        <x:v>TLAHUAC</x:v>
      </x:c>
      <x:c r="B1629" t="str">
        <x:v>San Juan Ixtayopan</x:v>
      </x:c>
      <x:c r="C1629" t="str">
        <x:v>Hombre</x:v>
      </x:c>
      <x:c r="D1629" t="str">
        <x:v>h) 35 a 39 años</x:v>
      </x:c>
      <x:c r="E1629" s="1" t="n">
        <x:v>943</x:v>
      </x:c>
    </x:row>
    <x:row r="1630">
      <x:c r="A1630" t="str">
        <x:v>TLAHUAC</x:v>
      </x:c>
      <x:c r="B1630" t="str">
        <x:v>San Juan Ixtayopan</x:v>
      </x:c>
      <x:c r="C1630" t="str">
        <x:v>Hombre</x:v>
      </x:c>
      <x:c r="D1630" t="str">
        <x:v>i) 40 a 44 años</x:v>
      </x:c>
      <x:c r="E1630" s="1" t="n">
        <x:v>901</x:v>
      </x:c>
    </x:row>
    <x:row r="1631">
      <x:c r="A1631" t="str">
        <x:v>TLAHUAC</x:v>
      </x:c>
      <x:c r="B1631" t="str">
        <x:v>San Juan Ixtayopan</x:v>
      </x:c>
      <x:c r="C1631" t="str">
        <x:v>Hombre</x:v>
      </x:c>
      <x:c r="D1631" t="str">
        <x:v>j) 45 a 49 años</x:v>
      </x:c>
      <x:c r="E1631" s="1" t="n">
        <x:v>916</x:v>
      </x:c>
    </x:row>
    <x:row r="1632">
      <x:c r="A1632" t="str">
        <x:v>TLAHUAC</x:v>
      </x:c>
      <x:c r="B1632" t="str">
        <x:v>San Juan Ixtayopan</x:v>
      </x:c>
      <x:c r="C1632" t="str">
        <x:v>Hombre</x:v>
      </x:c>
      <x:c r="D1632" t="str">
        <x:v>k) 50 a 54 años</x:v>
      </x:c>
      <x:c r="E1632" s="1" t="n">
        <x:v>946</x:v>
      </x:c>
    </x:row>
    <x:row r="1633">
      <x:c r="A1633" t="str">
        <x:v>TLAHUAC</x:v>
      </x:c>
      <x:c r="B1633" t="str">
        <x:v>San Juan Ixtayopan</x:v>
      </x:c>
      <x:c r="C1633" t="str">
        <x:v>Hombre</x:v>
      </x:c>
      <x:c r="D1633" t="str">
        <x:v>l) 55 a 59 años</x:v>
      </x:c>
      <x:c r="E1633" s="1" t="n">
        <x:v>658</x:v>
      </x:c>
    </x:row>
    <x:row r="1634">
      <x:c r="A1634" t="str">
        <x:v>TLAHUAC</x:v>
      </x:c>
      <x:c r="B1634" t="str">
        <x:v>San Juan Ixtayopan</x:v>
      </x:c>
      <x:c r="C1634" t="str">
        <x:v>Hombre</x:v>
      </x:c>
      <x:c r="D1634" t="str">
        <x:v>m) 60 a 64 años</x:v>
      </x:c>
      <x:c r="E1634" s="1" t="n">
        <x:v>578</x:v>
      </x:c>
    </x:row>
    <x:row r="1635">
      <x:c r="A1635" t="str">
        <x:v>TLAHUAC</x:v>
      </x:c>
      <x:c r="B1635" t="str">
        <x:v>San Juan Ixtayopan</x:v>
      </x:c>
      <x:c r="C1635" t="str">
        <x:v>Hombre</x:v>
      </x:c>
      <x:c r="D1635" t="str">
        <x:v>n) 65 a 69 años</x:v>
      </x:c>
      <x:c r="E1635" s="1" t="n">
        <x:v>394</x:v>
      </x:c>
    </x:row>
    <x:row r="1636">
      <x:c r="A1636" t="str">
        <x:v>TLAHUAC</x:v>
      </x:c>
      <x:c r="B1636" t="str">
        <x:v>San Juan Ixtayopan</x:v>
      </x:c>
      <x:c r="C1636" t="str">
        <x:v>Hombre</x:v>
      </x:c>
      <x:c r="D1636" t="str">
        <x:v>o) 70 a 74 años</x:v>
      </x:c>
      <x:c r="E1636" s="1" t="n">
        <x:v>252</x:v>
      </x:c>
    </x:row>
    <x:row r="1637">
      <x:c r="A1637" t="str">
        <x:v>TLAHUAC</x:v>
      </x:c>
      <x:c r="B1637" t="str">
        <x:v>San Juan Ixtayopan</x:v>
      </x:c>
      <x:c r="C1637" t="str">
        <x:v>Hombre</x:v>
      </x:c>
      <x:c r="D1637" t="str">
        <x:v>p) 75 a 79 años</x:v>
      </x:c>
      <x:c r="E1637" s="1" t="n">
        <x:v>143</x:v>
      </x:c>
    </x:row>
    <x:row r="1638">
      <x:c r="A1638" t="str">
        <x:v>TLAHUAC</x:v>
      </x:c>
      <x:c r="B1638" t="str">
        <x:v>San Juan Ixtayopan</x:v>
      </x:c>
      <x:c r="C1638" t="str">
        <x:v>Hombre</x:v>
      </x:c>
      <x:c r="D1638" t="str">
        <x:v>q) 80 a 84 años</x:v>
      </x:c>
      <x:c r="E1638" s="1" t="n">
        <x:v>104</x:v>
      </x:c>
    </x:row>
    <x:row r="1639">
      <x:c r="A1639" t="str">
        <x:v>TLAHUAC</x:v>
      </x:c>
      <x:c r="B1639" t="str">
        <x:v>San Juan Ixtayopan</x:v>
      </x:c>
      <x:c r="C1639" t="str">
        <x:v>Hombre</x:v>
      </x:c>
      <x:c r="D1639" t="str">
        <x:v>r) 85 años y más</x:v>
      </x:c>
      <x:c r="E1639" s="1" t="n">
        <x:v>72</x:v>
      </x:c>
    </x:row>
    <x:row r="1640">
      <x:c r="A1640" t="str">
        <x:v>TLAHUAC</x:v>
      </x:c>
      <x:c r="B1640" t="str">
        <x:v>San Juan Ixtayopan</x:v>
      </x:c>
      <x:c r="C1640" t="str">
        <x:v>Mujer</x:v>
      </x:c>
      <x:c r="D1640" t="str">
        <x:v>a) 0 a 4 años</x:v>
      </x:c>
      <x:c r="E1640" s="1" t="n">
        <x:v>884</x:v>
      </x:c>
    </x:row>
    <x:row r="1641">
      <x:c r="A1641" t="str">
        <x:v>TLAHUAC</x:v>
      </x:c>
      <x:c r="B1641" t="str">
        <x:v>San Juan Ixtayopan</x:v>
      </x:c>
      <x:c r="C1641" t="str">
        <x:v>Mujer</x:v>
      </x:c>
      <x:c r="D1641" t="str">
        <x:v>b) 5 a 9 años</x:v>
      </x:c>
      <x:c r="E1641" s="1" t="n">
        <x:v>1034</x:v>
      </x:c>
    </x:row>
    <x:row r="1642">
      <x:c r="A1642" t="str">
        <x:v>TLAHUAC</x:v>
      </x:c>
      <x:c r="B1642" t="str">
        <x:v>San Juan Ixtayopan</x:v>
      </x:c>
      <x:c r="C1642" t="str">
        <x:v>Mujer</x:v>
      </x:c>
      <x:c r="D1642" t="str">
        <x:v>c) 10 a 14 años</x:v>
      </x:c>
      <x:c r="E1642" s="1" t="n">
        <x:v>1081</x:v>
      </x:c>
    </x:row>
    <x:row r="1643">
      <x:c r="A1643" t="str">
        <x:v>TLAHUAC</x:v>
      </x:c>
      <x:c r="B1643" t="str">
        <x:v>San Juan Ixtayopan</x:v>
      </x:c>
      <x:c r="C1643" t="str">
        <x:v>Mujer</x:v>
      </x:c>
      <x:c r="D1643" t="str">
        <x:v>d) 15 a 19 años</x:v>
      </x:c>
      <x:c r="E1643" s="1" t="n">
        <x:v>1119</x:v>
      </x:c>
    </x:row>
    <x:row r="1644">
      <x:c r="A1644" t="str">
        <x:v>TLAHUAC</x:v>
      </x:c>
      <x:c r="B1644" t="str">
        <x:v>San Juan Ixtayopan</x:v>
      </x:c>
      <x:c r="C1644" t="str">
        <x:v>Mujer</x:v>
      </x:c>
      <x:c r="D1644" t="str">
        <x:v>e) 20 a 24 años</x:v>
      </x:c>
      <x:c r="E1644" s="1" t="n">
        <x:v>1169</x:v>
      </x:c>
    </x:row>
    <x:row r="1645">
      <x:c r="A1645" t="str">
        <x:v>TLAHUAC</x:v>
      </x:c>
      <x:c r="B1645" t="str">
        <x:v>San Juan Ixtayopan</x:v>
      </x:c>
      <x:c r="C1645" t="str">
        <x:v>Mujer</x:v>
      </x:c>
      <x:c r="D1645" t="str">
        <x:v>f) 25 a 29 años</x:v>
      </x:c>
      <x:c r="E1645" s="1" t="n">
        <x:v>1221</x:v>
      </x:c>
    </x:row>
    <x:row r="1646">
      <x:c r="A1646" t="str">
        <x:v>TLAHUAC</x:v>
      </x:c>
      <x:c r="B1646" t="str">
        <x:v>San Juan Ixtayopan</x:v>
      </x:c>
      <x:c r="C1646" t="str">
        <x:v>Mujer</x:v>
      </x:c>
      <x:c r="D1646" t="str">
        <x:v>g) 30 a 34 años</x:v>
      </x:c>
      <x:c r="E1646" s="1" t="n">
        <x:v>1048</x:v>
      </x:c>
    </x:row>
    <x:row r="1647">
      <x:c r="A1647" t="str">
        <x:v>TLAHUAC</x:v>
      </x:c>
      <x:c r="B1647" t="str">
        <x:v>San Juan Ixtayopan</x:v>
      </x:c>
      <x:c r="C1647" t="str">
        <x:v>Mujer</x:v>
      </x:c>
      <x:c r="D1647" t="str">
        <x:v>h) 35 a 39 años</x:v>
      </x:c>
      <x:c r="E1647" s="1" t="n">
        <x:v>1053</x:v>
      </x:c>
    </x:row>
    <x:row r="1648">
      <x:c r="A1648" t="str">
        <x:v>TLAHUAC</x:v>
      </x:c>
      <x:c r="B1648" t="str">
        <x:v>San Juan Ixtayopan</x:v>
      </x:c>
      <x:c r="C1648" t="str">
        <x:v>Mujer</x:v>
      </x:c>
      <x:c r="D1648" t="str">
        <x:v>i) 40 a 44 años</x:v>
      </x:c>
      <x:c r="E1648" s="1" t="n">
        <x:v>995</x:v>
      </x:c>
    </x:row>
    <x:row r="1649">
      <x:c r="A1649" t="str">
        <x:v>TLAHUAC</x:v>
      </x:c>
      <x:c r="B1649" t="str">
        <x:v>San Juan Ixtayopan</x:v>
      </x:c>
      <x:c r="C1649" t="str">
        <x:v>Mujer</x:v>
      </x:c>
      <x:c r="D1649" t="str">
        <x:v>j) 45 a 49 años</x:v>
      </x:c>
      <x:c r="E1649" s="1" t="n">
        <x:v>1083</x:v>
      </x:c>
    </x:row>
    <x:row r="1650">
      <x:c r="A1650" t="str">
        <x:v>TLAHUAC</x:v>
      </x:c>
      <x:c r="B1650" t="str">
        <x:v>San Juan Ixtayopan</x:v>
      </x:c>
      <x:c r="C1650" t="str">
        <x:v>Mujer</x:v>
      </x:c>
      <x:c r="D1650" t="str">
        <x:v>k) 50 a 54 años</x:v>
      </x:c>
      <x:c r="E1650" s="1" t="n">
        <x:v>976</x:v>
      </x:c>
    </x:row>
    <x:row r="1651">
      <x:c r="A1651" t="str">
        <x:v>TLAHUAC</x:v>
      </x:c>
      <x:c r="B1651" t="str">
        <x:v>San Juan Ixtayopan</x:v>
      </x:c>
      <x:c r="C1651" t="str">
        <x:v>Mujer</x:v>
      </x:c>
      <x:c r="D1651" t="str">
        <x:v>l) 55 a 59 años</x:v>
      </x:c>
      <x:c r="E1651" s="1" t="n">
        <x:v>854</x:v>
      </x:c>
    </x:row>
    <x:row r="1652">
      <x:c r="A1652" t="str">
        <x:v>TLAHUAC</x:v>
      </x:c>
      <x:c r="B1652" t="str">
        <x:v>San Juan Ixtayopan</x:v>
      </x:c>
      <x:c r="C1652" t="str">
        <x:v>Mujer</x:v>
      </x:c>
      <x:c r="D1652" t="str">
        <x:v>m) 60 a 64 años</x:v>
      </x:c>
      <x:c r="E1652" s="1" t="n">
        <x:v>621</x:v>
      </x:c>
    </x:row>
    <x:row r="1653">
      <x:c r="A1653" t="str">
        <x:v>TLAHUAC</x:v>
      </x:c>
      <x:c r="B1653" t="str">
        <x:v>San Juan Ixtayopan</x:v>
      </x:c>
      <x:c r="C1653" t="str">
        <x:v>Mujer</x:v>
      </x:c>
      <x:c r="D1653" t="str">
        <x:v>n) 65 a 69 años</x:v>
      </x:c>
      <x:c r="E1653" s="1" t="n">
        <x:v>431</x:v>
      </x:c>
    </x:row>
    <x:row r="1654">
      <x:c r="A1654" t="str">
        <x:v>TLAHUAC</x:v>
      </x:c>
      <x:c r="B1654" t="str">
        <x:v>San Juan Ixtayopan</x:v>
      </x:c>
      <x:c r="C1654" t="str">
        <x:v>Mujer</x:v>
      </x:c>
      <x:c r="D1654" t="str">
        <x:v>o) 70 a 74 años</x:v>
      </x:c>
      <x:c r="E1654" s="1" t="n">
        <x:v>273</x:v>
      </x:c>
    </x:row>
    <x:row r="1655">
      <x:c r="A1655" t="str">
        <x:v>TLAHUAC</x:v>
      </x:c>
      <x:c r="B1655" t="str">
        <x:v>San Juan Ixtayopan</x:v>
      </x:c>
      <x:c r="C1655" t="str">
        <x:v>Mujer</x:v>
      </x:c>
      <x:c r="D1655" t="str">
        <x:v>p) 75 a 79 años</x:v>
      </x:c>
      <x:c r="E1655" s="1" t="n">
        <x:v>170</x:v>
      </x:c>
    </x:row>
    <x:row r="1656">
      <x:c r="A1656" t="str">
        <x:v>TLAHUAC</x:v>
      </x:c>
      <x:c r="B1656" t="str">
        <x:v>San Juan Ixtayopan</x:v>
      </x:c>
      <x:c r="C1656" t="str">
        <x:v>Mujer</x:v>
      </x:c>
      <x:c r="D1656" t="str">
        <x:v>q) 80 a 84 años</x:v>
      </x:c>
      <x:c r="E1656" s="1" t="n">
        <x:v>118</x:v>
      </x:c>
    </x:row>
    <x:row r="1657">
      <x:c r="A1657" t="str">
        <x:v>TLAHUAC</x:v>
      </x:c>
      <x:c r="B1657" t="str">
        <x:v>San Juan Ixtayopan</x:v>
      </x:c>
      <x:c r="C1657" t="str">
        <x:v>Mujer</x:v>
      </x:c>
      <x:c r="D1657" t="str">
        <x:v>r) 85 años y más</x:v>
      </x:c>
      <x:c r="E1657" s="1" t="n">
        <x:v>124</x:v>
      </x:c>
    </x:row>
    <x:row r="1658">
      <x:c r="A1658" t="str">
        <x:v>TLAHUAC</x:v>
      </x:c>
      <x:c r="B1658" t="str">
        <x:v>San Nicolás Tetelco</x:v>
      </x:c>
      <x:c r="C1658" t="str">
        <x:v>Hombre</x:v>
      </x:c>
      <x:c r="D1658" t="str">
        <x:v>a) 0 a 4 años</x:v>
      </x:c>
      <x:c r="E1658" s="1" t="n">
        <x:v>157</x:v>
      </x:c>
    </x:row>
    <x:row r="1659">
      <x:c r="A1659" t="str">
        <x:v>TLAHUAC</x:v>
      </x:c>
      <x:c r="B1659" t="str">
        <x:v>San Nicolás Tetelco</x:v>
      </x:c>
      <x:c r="C1659" t="str">
        <x:v>Hombre</x:v>
      </x:c>
      <x:c r="D1659" t="str">
        <x:v>b) 5 a 9 años</x:v>
      </x:c>
      <x:c r="E1659" s="1" t="n">
        <x:v>239</x:v>
      </x:c>
    </x:row>
    <x:row r="1660">
      <x:c r="A1660" t="str">
        <x:v>TLAHUAC</x:v>
      </x:c>
      <x:c r="B1660" t="str">
        <x:v>San Nicolás Tetelco</x:v>
      </x:c>
      <x:c r="C1660" t="str">
        <x:v>Hombre</x:v>
      </x:c>
      <x:c r="D1660" t="str">
        <x:v>c) 10 a 14 años</x:v>
      </x:c>
      <x:c r="E1660" s="1" t="n">
        <x:v>179</x:v>
      </x:c>
    </x:row>
    <x:row r="1661">
      <x:c r="A1661" t="str">
        <x:v>TLAHUAC</x:v>
      </x:c>
      <x:c r="B1661" t="str">
        <x:v>San Nicolás Tetelco</x:v>
      </x:c>
      <x:c r="C1661" t="str">
        <x:v>Hombre</x:v>
      </x:c>
      <x:c r="D1661" t="str">
        <x:v>d) 15 a 19 años</x:v>
      </x:c>
      <x:c r="E1661" s="1" t="n">
        <x:v>189</x:v>
      </x:c>
    </x:row>
    <x:row r="1662">
      <x:c r="A1662" t="str">
        <x:v>TLAHUAC</x:v>
      </x:c>
      <x:c r="B1662" t="str">
        <x:v>San Nicolás Tetelco</x:v>
      </x:c>
      <x:c r="C1662" t="str">
        <x:v>Hombre</x:v>
      </x:c>
      <x:c r="D1662" t="str">
        <x:v>e) 20 a 24 años</x:v>
      </x:c>
      <x:c r="E1662" s="1" t="n">
        <x:v>179</x:v>
      </x:c>
    </x:row>
    <x:row r="1663">
      <x:c r="A1663" t="str">
        <x:v>TLAHUAC</x:v>
      </x:c>
      <x:c r="B1663" t="str">
        <x:v>San Nicolás Tetelco</x:v>
      </x:c>
      <x:c r="C1663" t="str">
        <x:v>Hombre</x:v>
      </x:c>
      <x:c r="D1663" t="str">
        <x:v>f) 25 a 29 años</x:v>
      </x:c>
      <x:c r="E1663" s="1" t="n">
        <x:v>196</x:v>
      </x:c>
    </x:row>
    <x:row r="1664">
      <x:c r="A1664" t="str">
        <x:v>TLAHUAC</x:v>
      </x:c>
      <x:c r="B1664" t="str">
        <x:v>San Nicolás Tetelco</x:v>
      </x:c>
      <x:c r="C1664" t="str">
        <x:v>Hombre</x:v>
      </x:c>
      <x:c r="D1664" t="str">
        <x:v>g) 30 a 34 años</x:v>
      </x:c>
      <x:c r="E1664" s="1" t="n">
        <x:v>179</x:v>
      </x:c>
    </x:row>
    <x:row r="1665">
      <x:c r="A1665" t="str">
        <x:v>TLAHUAC</x:v>
      </x:c>
      <x:c r="B1665" t="str">
        <x:v>San Nicolás Tetelco</x:v>
      </x:c>
      <x:c r="C1665" t="str">
        <x:v>Hombre</x:v>
      </x:c>
      <x:c r="D1665" t="str">
        <x:v>h) 35 a 39 años</x:v>
      </x:c>
      <x:c r="E1665" s="1" t="n">
        <x:v>173</x:v>
      </x:c>
    </x:row>
    <x:row r="1666">
      <x:c r="A1666" t="str">
        <x:v>TLAHUAC</x:v>
      </x:c>
      <x:c r="B1666" t="str">
        <x:v>San Nicolás Tetelco</x:v>
      </x:c>
      <x:c r="C1666" t="str">
        <x:v>Hombre</x:v>
      </x:c>
      <x:c r="D1666" t="str">
        <x:v>i) 40 a 44 años</x:v>
      </x:c>
      <x:c r="E1666" s="1" t="n">
        <x:v>174</x:v>
      </x:c>
    </x:row>
    <x:row r="1667">
      <x:c r="A1667" t="str">
        <x:v>TLAHUAC</x:v>
      </x:c>
      <x:c r="B1667" t="str">
        <x:v>San Nicolás Tetelco</x:v>
      </x:c>
      <x:c r="C1667" t="str">
        <x:v>Hombre</x:v>
      </x:c>
      <x:c r="D1667" t="str">
        <x:v>j) 45 a 49 años</x:v>
      </x:c>
      <x:c r="E1667" s="1" t="n">
        <x:v>146</x:v>
      </x:c>
    </x:row>
    <x:row r="1668">
      <x:c r="A1668" t="str">
        <x:v>TLAHUAC</x:v>
      </x:c>
      <x:c r="B1668" t="str">
        <x:v>San Nicolás Tetelco</x:v>
      </x:c>
      <x:c r="C1668" t="str">
        <x:v>Hombre</x:v>
      </x:c>
      <x:c r="D1668" t="str">
        <x:v>k) 50 a 54 años</x:v>
      </x:c>
      <x:c r="E1668" s="1" t="n">
        <x:v>142</x:v>
      </x:c>
    </x:row>
    <x:row r="1669">
      <x:c r="A1669" t="str">
        <x:v>TLAHUAC</x:v>
      </x:c>
      <x:c r="B1669" t="str">
        <x:v>San Nicolás Tetelco</x:v>
      </x:c>
      <x:c r="C1669" t="str">
        <x:v>Hombre</x:v>
      </x:c>
      <x:c r="D1669" t="str">
        <x:v>l) 55 a 59 años</x:v>
      </x:c>
      <x:c r="E1669" s="1" t="n">
        <x:v>125</x:v>
      </x:c>
    </x:row>
    <x:row r="1670">
      <x:c r="A1670" t="str">
        <x:v>TLAHUAC</x:v>
      </x:c>
      <x:c r="B1670" t="str">
        <x:v>San Nicolás Tetelco</x:v>
      </x:c>
      <x:c r="C1670" t="str">
        <x:v>Hombre</x:v>
      </x:c>
      <x:c r="D1670" t="str">
        <x:v>m) 60 a 64 años</x:v>
      </x:c>
      <x:c r="E1670" s="1" t="n">
        <x:v>101</x:v>
      </x:c>
    </x:row>
    <x:row r="1671">
      <x:c r="A1671" t="str">
        <x:v>TLAHUAC</x:v>
      </x:c>
      <x:c r="B1671" t="str">
        <x:v>San Nicolás Tetelco</x:v>
      </x:c>
      <x:c r="C1671" t="str">
        <x:v>Hombre</x:v>
      </x:c>
      <x:c r="D1671" t="str">
        <x:v>n) 65 a 69 años</x:v>
      </x:c>
      <x:c r="E1671" s="1" t="n">
        <x:v>56</x:v>
      </x:c>
    </x:row>
    <x:row r="1672">
      <x:c r="A1672" t="str">
        <x:v>TLAHUAC</x:v>
      </x:c>
      <x:c r="B1672" t="str">
        <x:v>San Nicolás Tetelco</x:v>
      </x:c>
      <x:c r="C1672" t="str">
        <x:v>Hombre</x:v>
      </x:c>
      <x:c r="D1672" t="str">
        <x:v>o) 70 a 74 años</x:v>
      </x:c>
      <x:c r="E1672" s="1" t="n">
        <x:v>44</x:v>
      </x:c>
    </x:row>
    <x:row r="1673">
      <x:c r="A1673" t="str">
        <x:v>TLAHUAC</x:v>
      </x:c>
      <x:c r="B1673" t="str">
        <x:v>San Nicolás Tetelco</x:v>
      </x:c>
      <x:c r="C1673" t="str">
        <x:v>Hombre</x:v>
      </x:c>
      <x:c r="D1673" t="str">
        <x:v>p) 75 a 79 años</x:v>
      </x:c>
      <x:c r="E1673" s="1" t="n">
        <x:v>21</x:v>
      </x:c>
    </x:row>
    <x:row r="1674">
      <x:c r="A1674" t="str">
        <x:v>TLAHUAC</x:v>
      </x:c>
      <x:c r="B1674" t="str">
        <x:v>San Nicolás Tetelco</x:v>
      </x:c>
      <x:c r="C1674" t="str">
        <x:v>Hombre</x:v>
      </x:c>
      <x:c r="D1674" t="str">
        <x:v>q) 80 a 84 años</x:v>
      </x:c>
      <x:c r="E1674" s="1" t="n">
        <x:v>16</x:v>
      </x:c>
    </x:row>
    <x:row r="1675">
      <x:c r="A1675" t="str">
        <x:v>TLAHUAC</x:v>
      </x:c>
      <x:c r="B1675" t="str">
        <x:v>San Nicolás Tetelco</x:v>
      </x:c>
      <x:c r="C1675" t="str">
        <x:v>Hombre</x:v>
      </x:c>
      <x:c r="D1675" t="str">
        <x:v>r) 85 años y más</x:v>
      </x:c>
      <x:c r="E1675" s="1" t="n">
        <x:v>14</x:v>
      </x:c>
    </x:row>
    <x:row r="1676">
      <x:c r="A1676" t="str">
        <x:v>TLAHUAC</x:v>
      </x:c>
      <x:c r="B1676" t="str">
        <x:v>San Nicolás Tetelco</x:v>
      </x:c>
      <x:c r="C1676" t="str">
        <x:v>Mujer</x:v>
      </x:c>
      <x:c r="D1676" t="str">
        <x:v>a) 0 a 4 años</x:v>
      </x:c>
      <x:c r="E1676" s="1" t="n">
        <x:v>174</x:v>
      </x:c>
    </x:row>
    <x:row r="1677">
      <x:c r="A1677" t="str">
        <x:v>TLAHUAC</x:v>
      </x:c>
      <x:c r="B1677" t="str">
        <x:v>San Nicolás Tetelco</x:v>
      </x:c>
      <x:c r="C1677" t="str">
        <x:v>Mujer</x:v>
      </x:c>
      <x:c r="D1677" t="str">
        <x:v>b) 5 a 9 años</x:v>
      </x:c>
      <x:c r="E1677" s="1" t="n">
        <x:v>203</x:v>
      </x:c>
    </x:row>
    <x:row r="1678">
      <x:c r="A1678" t="str">
        <x:v>TLAHUAC</x:v>
      </x:c>
      <x:c r="B1678" t="str">
        <x:v>San Nicolás Tetelco</x:v>
      </x:c>
      <x:c r="C1678" t="str">
        <x:v>Mujer</x:v>
      </x:c>
      <x:c r="D1678" t="str">
        <x:v>c) 10 a 14 años</x:v>
      </x:c>
      <x:c r="E1678" s="1" t="n">
        <x:v>249</x:v>
      </x:c>
    </x:row>
    <x:row r="1679">
      <x:c r="A1679" t="str">
        <x:v>TLAHUAC</x:v>
      </x:c>
      <x:c r="B1679" t="str">
        <x:v>San Nicolás Tetelco</x:v>
      </x:c>
      <x:c r="C1679" t="str">
        <x:v>Mujer</x:v>
      </x:c>
      <x:c r="D1679" t="str">
        <x:v>d) 15 a 19 años</x:v>
      </x:c>
      <x:c r="E1679" s="1" t="n">
        <x:v>230</x:v>
      </x:c>
    </x:row>
    <x:row r="1680">
      <x:c r="A1680" t="str">
        <x:v>TLAHUAC</x:v>
      </x:c>
      <x:c r="B1680" t="str">
        <x:v>San Nicolás Tetelco</x:v>
      </x:c>
      <x:c r="C1680" t="str">
        <x:v>Mujer</x:v>
      </x:c>
      <x:c r="D1680" t="str">
        <x:v>e) 20 a 24 años</x:v>
      </x:c>
      <x:c r="E1680" s="1" t="n">
        <x:v>200</x:v>
      </x:c>
    </x:row>
    <x:row r="1681">
      <x:c r="A1681" t="str">
        <x:v>TLAHUAC</x:v>
      </x:c>
      <x:c r="B1681" t="str">
        <x:v>San Nicolás Tetelco</x:v>
      </x:c>
      <x:c r="C1681" t="str">
        <x:v>Mujer</x:v>
      </x:c>
      <x:c r="D1681" t="str">
        <x:v>f) 25 a 29 años</x:v>
      </x:c>
      <x:c r="E1681" s="1" t="n">
        <x:v>218</x:v>
      </x:c>
    </x:row>
    <x:row r="1682">
      <x:c r="A1682" t="str">
        <x:v>TLAHUAC</x:v>
      </x:c>
      <x:c r="B1682" t="str">
        <x:v>San Nicolás Tetelco</x:v>
      </x:c>
      <x:c r="C1682" t="str">
        <x:v>Mujer</x:v>
      </x:c>
      <x:c r="D1682" t="str">
        <x:v>g) 30 a 34 años</x:v>
      </x:c>
      <x:c r="E1682" s="1" t="n">
        <x:v>210</x:v>
      </x:c>
    </x:row>
    <x:row r="1683">
      <x:c r="A1683" t="str">
        <x:v>TLAHUAC</x:v>
      </x:c>
      <x:c r="B1683" t="str">
        <x:v>San Nicolás Tetelco</x:v>
      </x:c>
      <x:c r="C1683" t="str">
        <x:v>Mujer</x:v>
      </x:c>
      <x:c r="D1683" t="str">
        <x:v>h) 35 a 39 años</x:v>
      </x:c>
      <x:c r="E1683" s="1" t="n">
        <x:v>204</x:v>
      </x:c>
    </x:row>
    <x:row r="1684">
      <x:c r="A1684" t="str">
        <x:v>TLAHUAC</x:v>
      </x:c>
      <x:c r="B1684" t="str">
        <x:v>San Nicolás Tetelco</x:v>
      </x:c>
      <x:c r="C1684" t="str">
        <x:v>Mujer</x:v>
      </x:c>
      <x:c r="D1684" t="str">
        <x:v>i) 40 a 44 años</x:v>
      </x:c>
      <x:c r="E1684" s="1" t="n">
        <x:v>163</x:v>
      </x:c>
    </x:row>
    <x:row r="1685">
      <x:c r="A1685" t="str">
        <x:v>TLAHUAC</x:v>
      </x:c>
      <x:c r="B1685" t="str">
        <x:v>San Nicolás Tetelco</x:v>
      </x:c>
      <x:c r="C1685" t="str">
        <x:v>Mujer</x:v>
      </x:c>
      <x:c r="D1685" t="str">
        <x:v>j) 45 a 49 años</x:v>
      </x:c>
      <x:c r="E1685" s="1" t="n">
        <x:v>158</x:v>
      </x:c>
    </x:row>
    <x:row r="1686">
      <x:c r="A1686" t="str">
        <x:v>TLAHUAC</x:v>
      </x:c>
      <x:c r="B1686" t="str">
        <x:v>San Nicolás Tetelco</x:v>
      </x:c>
      <x:c r="C1686" t="str">
        <x:v>Mujer</x:v>
      </x:c>
      <x:c r="D1686" t="str">
        <x:v>k) 50 a 54 años</x:v>
      </x:c>
      <x:c r="E1686" s="1" t="n">
        <x:v>158</x:v>
      </x:c>
    </x:row>
    <x:row r="1687">
      <x:c r="A1687" t="str">
        <x:v>TLAHUAC</x:v>
      </x:c>
      <x:c r="B1687" t="str">
        <x:v>San Nicolás Tetelco</x:v>
      </x:c>
      <x:c r="C1687" t="str">
        <x:v>Mujer</x:v>
      </x:c>
      <x:c r="D1687" t="str">
        <x:v>l) 55 a 59 años</x:v>
      </x:c>
      <x:c r="E1687" s="1" t="n">
        <x:v>143</x:v>
      </x:c>
    </x:row>
    <x:row r="1688">
      <x:c r="A1688" t="str">
        <x:v>TLAHUAC</x:v>
      </x:c>
      <x:c r="B1688" t="str">
        <x:v>San Nicolás Tetelco</x:v>
      </x:c>
      <x:c r="C1688" t="str">
        <x:v>Mujer</x:v>
      </x:c>
      <x:c r="D1688" t="str">
        <x:v>m) 60 a 64 años</x:v>
      </x:c>
      <x:c r="E1688" s="1" t="n">
        <x:v>110</x:v>
      </x:c>
    </x:row>
    <x:row r="1689">
      <x:c r="A1689" t="str">
        <x:v>TLAHUAC</x:v>
      </x:c>
      <x:c r="B1689" t="str">
        <x:v>San Nicolás Tetelco</x:v>
      </x:c>
      <x:c r="C1689" t="str">
        <x:v>Mujer</x:v>
      </x:c>
      <x:c r="D1689" t="str">
        <x:v>n) 65 a 69 años</x:v>
      </x:c>
      <x:c r="E1689" s="1" t="n">
        <x:v>68</x:v>
      </x:c>
    </x:row>
    <x:row r="1690">
      <x:c r="A1690" t="str">
        <x:v>TLAHUAC</x:v>
      </x:c>
      <x:c r="B1690" t="str">
        <x:v>San Nicolás Tetelco</x:v>
      </x:c>
      <x:c r="C1690" t="str">
        <x:v>Mujer</x:v>
      </x:c>
      <x:c r="D1690" t="str">
        <x:v>o) 70 a 74 años</x:v>
      </x:c>
      <x:c r="E1690" s="1" t="n">
        <x:v>35</x:v>
      </x:c>
    </x:row>
    <x:row r="1691">
      <x:c r="A1691" t="str">
        <x:v>TLAHUAC</x:v>
      </x:c>
      <x:c r="B1691" t="str">
        <x:v>San Nicolás Tetelco</x:v>
      </x:c>
      <x:c r="C1691" t="str">
        <x:v>Mujer</x:v>
      </x:c>
      <x:c r="D1691" t="str">
        <x:v>p) 75 a 79 años</x:v>
      </x:c>
      <x:c r="E1691" s="1" t="n">
        <x:v>31</x:v>
      </x:c>
    </x:row>
    <x:row r="1692">
      <x:c r="A1692" t="str">
        <x:v>TLAHUAC</x:v>
      </x:c>
      <x:c r="B1692" t="str">
        <x:v>San Nicolás Tetelco</x:v>
      </x:c>
      <x:c r="C1692" t="str">
        <x:v>Mujer</x:v>
      </x:c>
      <x:c r="D1692" t="str">
        <x:v>q) 80 a 84 años</x:v>
      </x:c>
      <x:c r="E1692" s="1" t="n">
        <x:v>16</x:v>
      </x:c>
    </x:row>
    <x:row r="1693">
      <x:c r="A1693" t="str">
        <x:v>TLAHUAC</x:v>
      </x:c>
      <x:c r="B1693" t="str">
        <x:v>San Nicolás Tetelco</x:v>
      </x:c>
      <x:c r="C1693" t="str">
        <x:v>Mujer</x:v>
      </x:c>
      <x:c r="D1693" t="str">
        <x:v>r) 85 años y más</x:v>
      </x:c>
      <x:c r="E1693" s="1" t="n">
        <x:v>19</x:v>
      </x:c>
    </x:row>
    <x:row r="1694">
      <x:c r="A1694" t="str">
        <x:v>TLAHUAC</x:v>
      </x:c>
      <x:c r="B1694" t="str">
        <x:v>Santa Catarina Yecahuitzotl</x:v>
      </x:c>
      <x:c r="C1694" t="str">
        <x:v>Hombre</x:v>
      </x:c>
      <x:c r="D1694" t="str">
        <x:v>a) 0 a 4 años</x:v>
      </x:c>
      <x:c r="E1694" s="1" t="n">
        <x:v>393</x:v>
      </x:c>
    </x:row>
    <x:row r="1695">
      <x:c r="A1695" t="str">
        <x:v>TLAHUAC</x:v>
      </x:c>
      <x:c r="B1695" t="str">
        <x:v>Santa Catarina Yecahuitzotl</x:v>
      </x:c>
      <x:c r="C1695" t="str">
        <x:v>Hombre</x:v>
      </x:c>
      <x:c r="D1695" t="str">
        <x:v>b) 5 a 9 años</x:v>
      </x:c>
      <x:c r="E1695" s="1" t="n">
        <x:v>454</x:v>
      </x:c>
    </x:row>
    <x:row r="1696">
      <x:c r="A1696" t="str">
        <x:v>TLAHUAC</x:v>
      </x:c>
      <x:c r="B1696" t="str">
        <x:v>Santa Catarina Yecahuitzotl</x:v>
      </x:c>
      <x:c r="C1696" t="str">
        <x:v>Hombre</x:v>
      </x:c>
      <x:c r="D1696" t="str">
        <x:v>c) 10 a 14 años</x:v>
      </x:c>
      <x:c r="E1696" s="1" t="n">
        <x:v>541</x:v>
      </x:c>
    </x:row>
    <x:row r="1697">
      <x:c r="A1697" t="str">
        <x:v>TLAHUAC</x:v>
      </x:c>
      <x:c r="B1697" t="str">
        <x:v>Santa Catarina Yecahuitzotl</x:v>
      </x:c>
      <x:c r="C1697" t="str">
        <x:v>Hombre</x:v>
      </x:c>
      <x:c r="D1697" t="str">
        <x:v>d) 15 a 19 años</x:v>
      </x:c>
      <x:c r="E1697" s="1" t="n">
        <x:v>545</x:v>
      </x:c>
    </x:row>
    <x:row r="1698">
      <x:c r="A1698" t="str">
        <x:v>TLAHUAC</x:v>
      </x:c>
      <x:c r="B1698" t="str">
        <x:v>Santa Catarina Yecahuitzotl</x:v>
      </x:c>
      <x:c r="C1698" t="str">
        <x:v>Hombre</x:v>
      </x:c>
      <x:c r="D1698" t="str">
        <x:v>e) 20 a 24 años</x:v>
      </x:c>
      <x:c r="E1698" s="1" t="n">
        <x:v>521</x:v>
      </x:c>
    </x:row>
    <x:row r="1699">
      <x:c r="A1699" t="str">
        <x:v>TLAHUAC</x:v>
      </x:c>
      <x:c r="B1699" t="str">
        <x:v>Santa Catarina Yecahuitzotl</x:v>
      </x:c>
      <x:c r="C1699" t="str">
        <x:v>Hombre</x:v>
      </x:c>
      <x:c r="D1699" t="str">
        <x:v>f) 25 a 29 años</x:v>
      </x:c>
      <x:c r="E1699" s="1" t="n">
        <x:v>448</x:v>
      </x:c>
    </x:row>
    <x:row r="1700">
      <x:c r="A1700" t="str">
        <x:v>TLAHUAC</x:v>
      </x:c>
      <x:c r="B1700" t="str">
        <x:v>Santa Catarina Yecahuitzotl</x:v>
      </x:c>
      <x:c r="C1700" t="str">
        <x:v>Hombre</x:v>
      </x:c>
      <x:c r="D1700" t="str">
        <x:v>g) 30 a 34 años</x:v>
      </x:c>
      <x:c r="E1700" s="1" t="n">
        <x:v>413</x:v>
      </x:c>
    </x:row>
    <x:row r="1701">
      <x:c r="A1701" t="str">
        <x:v>TLAHUAC</x:v>
      </x:c>
      <x:c r="B1701" t="str">
        <x:v>Santa Catarina Yecahuitzotl</x:v>
      </x:c>
      <x:c r="C1701" t="str">
        <x:v>Hombre</x:v>
      </x:c>
      <x:c r="D1701" t="str">
        <x:v>h) 35 a 39 años</x:v>
      </x:c>
      <x:c r="E1701" s="1" t="n">
        <x:v>398</x:v>
      </x:c>
    </x:row>
    <x:row r="1702">
      <x:c r="A1702" t="str">
        <x:v>TLAHUAC</x:v>
      </x:c>
      <x:c r="B1702" t="str">
        <x:v>Santa Catarina Yecahuitzotl</x:v>
      </x:c>
      <x:c r="C1702" t="str">
        <x:v>Hombre</x:v>
      </x:c>
      <x:c r="D1702" t="str">
        <x:v>i) 40 a 44 años</x:v>
      </x:c>
      <x:c r="E1702" s="1" t="n">
        <x:v>418</x:v>
      </x:c>
    </x:row>
    <x:row r="1703">
      <x:c r="A1703" t="str">
        <x:v>TLAHUAC</x:v>
      </x:c>
      <x:c r="B1703" t="str">
        <x:v>Santa Catarina Yecahuitzotl</x:v>
      </x:c>
      <x:c r="C1703" t="str">
        <x:v>Hombre</x:v>
      </x:c>
      <x:c r="D1703" t="str">
        <x:v>j) 45 a 49 años</x:v>
      </x:c>
      <x:c r="E1703" s="1" t="n">
        <x:v>403</x:v>
      </x:c>
    </x:row>
    <x:row r="1704">
      <x:c r="A1704" t="str">
        <x:v>TLAHUAC</x:v>
      </x:c>
      <x:c r="B1704" t="str">
        <x:v>Santa Catarina Yecahuitzotl</x:v>
      </x:c>
      <x:c r="C1704" t="str">
        <x:v>Hombre</x:v>
      </x:c>
      <x:c r="D1704" t="str">
        <x:v>k) 50 a 54 años</x:v>
      </x:c>
      <x:c r="E1704" s="1" t="n">
        <x:v>323</x:v>
      </x:c>
    </x:row>
    <x:row r="1705">
      <x:c r="A1705" t="str">
        <x:v>TLAHUAC</x:v>
      </x:c>
      <x:c r="B1705" t="str">
        <x:v>Santa Catarina Yecahuitzotl</x:v>
      </x:c>
      <x:c r="C1705" t="str">
        <x:v>Hombre</x:v>
      </x:c>
      <x:c r="D1705" t="str">
        <x:v>l) 55 a 59 años</x:v>
      </x:c>
      <x:c r="E1705" s="1" t="n">
        <x:v>283</x:v>
      </x:c>
    </x:row>
    <x:row r="1706">
      <x:c r="A1706" t="str">
        <x:v>TLAHUAC</x:v>
      </x:c>
      <x:c r="B1706" t="str">
        <x:v>Santa Catarina Yecahuitzotl</x:v>
      </x:c>
      <x:c r="C1706" t="str">
        <x:v>Hombre</x:v>
      </x:c>
      <x:c r="D1706" t="str">
        <x:v>m) 60 a 64 años</x:v>
      </x:c>
      <x:c r="E1706" s="1" t="n">
        <x:v>198</x:v>
      </x:c>
    </x:row>
    <x:row r="1707">
      <x:c r="A1707" t="str">
        <x:v>TLAHUAC</x:v>
      </x:c>
      <x:c r="B1707" t="str">
        <x:v>Santa Catarina Yecahuitzotl</x:v>
      </x:c>
      <x:c r="C1707" t="str">
        <x:v>Hombre</x:v>
      </x:c>
      <x:c r="D1707" t="str">
        <x:v>n) 65 a 69 años</x:v>
      </x:c>
      <x:c r="E1707" s="1" t="n">
        <x:v>160</x:v>
      </x:c>
    </x:row>
    <x:row r="1708">
      <x:c r="A1708" t="str">
        <x:v>TLAHUAC</x:v>
      </x:c>
      <x:c r="B1708" t="str">
        <x:v>Santa Catarina Yecahuitzotl</x:v>
      </x:c>
      <x:c r="C1708" t="str">
        <x:v>Hombre</x:v>
      </x:c>
      <x:c r="D1708" t="str">
        <x:v>o) 70 a 74 años</x:v>
      </x:c>
      <x:c r="E1708" s="1" t="n">
        <x:v>92</x:v>
      </x:c>
    </x:row>
    <x:row r="1709">
      <x:c r="A1709" t="str">
        <x:v>TLAHUAC</x:v>
      </x:c>
      <x:c r="B1709" t="str">
        <x:v>Santa Catarina Yecahuitzotl</x:v>
      </x:c>
      <x:c r="C1709" t="str">
        <x:v>Hombre</x:v>
      </x:c>
      <x:c r="D1709" t="str">
        <x:v>p) 75 a 79 años</x:v>
      </x:c>
      <x:c r="E1709" s="1" t="n">
        <x:v>63</x:v>
      </x:c>
    </x:row>
    <x:row r="1710">
      <x:c r="A1710" t="str">
        <x:v>TLAHUAC</x:v>
      </x:c>
      <x:c r="B1710" t="str">
        <x:v>Santa Catarina Yecahuitzotl</x:v>
      </x:c>
      <x:c r="C1710" t="str">
        <x:v>Hombre</x:v>
      </x:c>
      <x:c r="D1710" t="str">
        <x:v>q) 80 a 84 años</x:v>
      </x:c>
      <x:c r="E1710" s="1" t="n">
        <x:v>47</x:v>
      </x:c>
    </x:row>
    <x:row r="1711">
      <x:c r="A1711" t="str">
        <x:v>TLAHUAC</x:v>
      </x:c>
      <x:c r="B1711" t="str">
        <x:v>Santa Catarina Yecahuitzotl</x:v>
      </x:c>
      <x:c r="C1711" t="str">
        <x:v>Hombre</x:v>
      </x:c>
      <x:c r="D1711" t="str">
        <x:v>r) 85 años y más</x:v>
      </x:c>
      <x:c r="E1711" s="1" t="n">
        <x:v>40</x:v>
      </x:c>
    </x:row>
    <x:row r="1712">
      <x:c r="A1712" t="str">
        <x:v>TLAHUAC</x:v>
      </x:c>
      <x:c r="B1712" t="str">
        <x:v>Santa Catarina Yecahuitzotl</x:v>
      </x:c>
      <x:c r="C1712" t="str">
        <x:v>Mujer</x:v>
      </x:c>
      <x:c r="D1712" t="str">
        <x:v>a) 0 a 4 años</x:v>
      </x:c>
      <x:c r="E1712" s="1" t="n">
        <x:v>361</x:v>
      </x:c>
    </x:row>
    <x:row r="1713">
      <x:c r="A1713" t="str">
        <x:v>TLAHUAC</x:v>
      </x:c>
      <x:c r="B1713" t="str">
        <x:v>Santa Catarina Yecahuitzotl</x:v>
      </x:c>
      <x:c r="C1713" t="str">
        <x:v>Mujer</x:v>
      </x:c>
      <x:c r="D1713" t="str">
        <x:v>b) 5 a 9 años</x:v>
      </x:c>
      <x:c r="E1713" s="1" t="n">
        <x:v>486</x:v>
      </x:c>
    </x:row>
    <x:row r="1714">
      <x:c r="A1714" t="str">
        <x:v>TLAHUAC</x:v>
      </x:c>
      <x:c r="B1714" t="str">
        <x:v>Santa Catarina Yecahuitzotl</x:v>
      </x:c>
      <x:c r="C1714" t="str">
        <x:v>Mujer</x:v>
      </x:c>
      <x:c r="D1714" t="str">
        <x:v>c) 10 a 14 años</x:v>
      </x:c>
      <x:c r="E1714" s="1" t="n">
        <x:v>475</x:v>
      </x:c>
    </x:row>
    <x:row r="1715">
      <x:c r="A1715" t="str">
        <x:v>TLAHUAC</x:v>
      </x:c>
      <x:c r="B1715" t="str">
        <x:v>Santa Catarina Yecahuitzotl</x:v>
      </x:c>
      <x:c r="C1715" t="str">
        <x:v>Mujer</x:v>
      </x:c>
      <x:c r="D1715" t="str">
        <x:v>d) 15 a 19 años</x:v>
      </x:c>
      <x:c r="E1715" s="1" t="n">
        <x:v>499</x:v>
      </x:c>
    </x:row>
    <x:row r="1716">
      <x:c r="A1716" t="str">
        <x:v>TLAHUAC</x:v>
      </x:c>
      <x:c r="B1716" t="str">
        <x:v>Santa Catarina Yecahuitzotl</x:v>
      </x:c>
      <x:c r="C1716" t="str">
        <x:v>Mujer</x:v>
      </x:c>
      <x:c r="D1716" t="str">
        <x:v>e) 20 a 24 años</x:v>
      </x:c>
      <x:c r="E1716" s="1" t="n">
        <x:v>496</x:v>
      </x:c>
    </x:row>
    <x:row r="1717">
      <x:c r="A1717" t="str">
        <x:v>TLAHUAC</x:v>
      </x:c>
      <x:c r="B1717" t="str">
        <x:v>Santa Catarina Yecahuitzotl</x:v>
      </x:c>
      <x:c r="C1717" t="str">
        <x:v>Mujer</x:v>
      </x:c>
      <x:c r="D1717" t="str">
        <x:v>f) 25 a 29 años</x:v>
      </x:c>
      <x:c r="E1717" s="1" t="n">
        <x:v>459</x:v>
      </x:c>
    </x:row>
    <x:row r="1718">
      <x:c r="A1718" t="str">
        <x:v>TLAHUAC</x:v>
      </x:c>
      <x:c r="B1718" t="str">
        <x:v>Santa Catarina Yecahuitzotl</x:v>
      </x:c>
      <x:c r="C1718" t="str">
        <x:v>Mujer</x:v>
      </x:c>
      <x:c r="D1718" t="str">
        <x:v>g) 30 a 34 años</x:v>
      </x:c>
      <x:c r="E1718" s="1" t="n">
        <x:v>470</x:v>
      </x:c>
    </x:row>
    <x:row r="1719">
      <x:c r="A1719" t="str">
        <x:v>TLAHUAC</x:v>
      </x:c>
      <x:c r="B1719" t="str">
        <x:v>Santa Catarina Yecahuitzotl</x:v>
      </x:c>
      <x:c r="C1719" t="str">
        <x:v>Mujer</x:v>
      </x:c>
      <x:c r="D1719" t="str">
        <x:v>h) 35 a 39 años</x:v>
      </x:c>
      <x:c r="E1719" s="1" t="n">
        <x:v>401</x:v>
      </x:c>
    </x:row>
    <x:row r="1720">
      <x:c r="A1720" t="str">
        <x:v>TLAHUAC</x:v>
      </x:c>
      <x:c r="B1720" t="str">
        <x:v>Santa Catarina Yecahuitzotl</x:v>
      </x:c>
      <x:c r="C1720" t="str">
        <x:v>Mujer</x:v>
      </x:c>
      <x:c r="D1720" t="str">
        <x:v>i) 40 a 44 años</x:v>
      </x:c>
      <x:c r="E1720" s="1" t="n">
        <x:v>481</x:v>
      </x:c>
    </x:row>
    <x:row r="1721">
      <x:c r="A1721" t="str">
        <x:v>TLAHUAC</x:v>
      </x:c>
      <x:c r="B1721" t="str">
        <x:v>Santa Catarina Yecahuitzotl</x:v>
      </x:c>
      <x:c r="C1721" t="str">
        <x:v>Mujer</x:v>
      </x:c>
      <x:c r="D1721" t="str">
        <x:v>j) 45 a 49 años</x:v>
      </x:c>
      <x:c r="E1721" s="1" t="n">
        <x:v>411</x:v>
      </x:c>
    </x:row>
    <x:row r="1722">
      <x:c r="A1722" t="str">
        <x:v>TLAHUAC</x:v>
      </x:c>
      <x:c r="B1722" t="str">
        <x:v>Santa Catarina Yecahuitzotl</x:v>
      </x:c>
      <x:c r="C1722" t="str">
        <x:v>Mujer</x:v>
      </x:c>
      <x:c r="D1722" t="str">
        <x:v>k) 50 a 54 años</x:v>
      </x:c>
      <x:c r="E1722" s="1" t="n">
        <x:v>395</x:v>
      </x:c>
    </x:row>
    <x:row r="1723">
      <x:c r="A1723" t="str">
        <x:v>TLAHUAC</x:v>
      </x:c>
      <x:c r="B1723" t="str">
        <x:v>Santa Catarina Yecahuitzotl</x:v>
      </x:c>
      <x:c r="C1723" t="str">
        <x:v>Mujer</x:v>
      </x:c>
      <x:c r="D1723" t="str">
        <x:v>l) 55 a 59 años</x:v>
      </x:c>
      <x:c r="E1723" s="1" t="n">
        <x:v>285</x:v>
      </x:c>
    </x:row>
    <x:row r="1724">
      <x:c r="A1724" t="str">
        <x:v>TLAHUAC</x:v>
      </x:c>
      <x:c r="B1724" t="str">
        <x:v>Santa Catarina Yecahuitzotl</x:v>
      </x:c>
      <x:c r="C1724" t="str">
        <x:v>Mujer</x:v>
      </x:c>
      <x:c r="D1724" t="str">
        <x:v>m) 60 a 64 años</x:v>
      </x:c>
      <x:c r="E1724" s="1" t="n">
        <x:v>234</x:v>
      </x:c>
    </x:row>
    <x:row r="1725">
      <x:c r="A1725" t="str">
        <x:v>TLAHUAC</x:v>
      </x:c>
      <x:c r="B1725" t="str">
        <x:v>Santa Catarina Yecahuitzotl</x:v>
      </x:c>
      <x:c r="C1725" t="str">
        <x:v>Mujer</x:v>
      </x:c>
      <x:c r="D1725" t="str">
        <x:v>n) 65 a 69 años</x:v>
      </x:c>
      <x:c r="E1725" s="1" t="n">
        <x:v>164</x:v>
      </x:c>
    </x:row>
    <x:row r="1726">
      <x:c r="A1726" t="str">
        <x:v>TLAHUAC</x:v>
      </x:c>
      <x:c r="B1726" t="str">
        <x:v>Santa Catarina Yecahuitzotl</x:v>
      </x:c>
      <x:c r="C1726" t="str">
        <x:v>Mujer</x:v>
      </x:c>
      <x:c r="D1726" t="str">
        <x:v>o) 70 a 74 años</x:v>
      </x:c>
      <x:c r="E1726" s="1" t="n">
        <x:v>97</x:v>
      </x:c>
    </x:row>
    <x:row r="1727">
      <x:c r="A1727" t="str">
        <x:v>TLAHUAC</x:v>
      </x:c>
      <x:c r="B1727" t="str">
        <x:v>Santa Catarina Yecahuitzotl</x:v>
      </x:c>
      <x:c r="C1727" t="str">
        <x:v>Mujer</x:v>
      </x:c>
      <x:c r="D1727" t="str">
        <x:v>p) 75 a 79 años</x:v>
      </x:c>
      <x:c r="E1727" s="1" t="n">
        <x:v>80</x:v>
      </x:c>
    </x:row>
    <x:row r="1728">
      <x:c r="A1728" t="str">
        <x:v>TLAHUAC</x:v>
      </x:c>
      <x:c r="B1728" t="str">
        <x:v>Santa Catarina Yecahuitzotl</x:v>
      </x:c>
      <x:c r="C1728" t="str">
        <x:v>Mujer</x:v>
      </x:c>
      <x:c r="D1728" t="str">
        <x:v>q) 80 a 84 años</x:v>
      </x:c>
      <x:c r="E1728" s="1" t="n">
        <x:v>44</x:v>
      </x:c>
    </x:row>
    <x:row r="1729">
      <x:c r="A1729" t="str">
        <x:v>TLAHUAC</x:v>
      </x:c>
      <x:c r="B1729" t="str">
        <x:v>Santa Catarina Yecahuitzotl</x:v>
      </x:c>
      <x:c r="C1729" t="str">
        <x:v>Mujer</x:v>
      </x:c>
      <x:c r="D1729" t="str">
        <x:v>r) 85 años y más</x:v>
      </x:c>
      <x:c r="E1729" s="1" t="n">
        <x:v>58</x:v>
      </x:c>
    </x:row>
    <x:row r="1730">
      <x:c r="A1730" t="str">
        <x:v>TLAHUAC</x:v>
      </x:c>
      <x:c r="B1730" t="str">
        <x:v>San Ignacio de Loyola</x:v>
      </x:c>
      <x:c r="C1730" t="str">
        <x:v>Hombre</x:v>
      </x:c>
      <x:c r="D1730" t="str">
        <x:v>a) 0 a 4 años</x:v>
      </x:c>
      <x:c r="E1730" s="1" t="n">
        <x:v>31</x:v>
      </x:c>
    </x:row>
    <x:row r="1731">
      <x:c r="A1731" t="str">
        <x:v>TLAHUAC</x:v>
      </x:c>
      <x:c r="B1731" t="str">
        <x:v>San Ignacio de Loyola</x:v>
      </x:c>
      <x:c r="C1731" t="str">
        <x:v>Hombre</x:v>
      </x:c>
      <x:c r="D1731" t="str">
        <x:v>b) 5 a 9 años</x:v>
      </x:c>
      <x:c r="E1731" s="1" t="n">
        <x:v>40</x:v>
      </x:c>
    </x:row>
    <x:row r="1732">
      <x:c r="A1732" t="str">
        <x:v>TLAHUAC</x:v>
      </x:c>
      <x:c r="B1732" t="str">
        <x:v>San Ignacio de Loyola</x:v>
      </x:c>
      <x:c r="C1732" t="str">
        <x:v>Hombre</x:v>
      </x:c>
      <x:c r="D1732" t="str">
        <x:v>c) 10 a 14 años</x:v>
      </x:c>
      <x:c r="E1732" s="1" t="n">
        <x:v>35</x:v>
      </x:c>
    </x:row>
    <x:row r="1733">
      <x:c r="A1733" t="str">
        <x:v>TLAHUAC</x:v>
      </x:c>
      <x:c r="B1733" t="str">
        <x:v>San Ignacio de Loyola</x:v>
      </x:c>
      <x:c r="C1733" t="str">
        <x:v>Hombre</x:v>
      </x:c>
      <x:c r="D1733" t="str">
        <x:v>d) 15 a 19 años</x:v>
      </x:c>
      <x:c r="E1733" s="1" t="n">
        <x:v>39</x:v>
      </x:c>
    </x:row>
    <x:row r="1734">
      <x:c r="A1734" t="str">
        <x:v>TLAHUAC</x:v>
      </x:c>
      <x:c r="B1734" t="str">
        <x:v>San Ignacio de Loyola</x:v>
      </x:c>
      <x:c r="C1734" t="str">
        <x:v>Hombre</x:v>
      </x:c>
      <x:c r="D1734" t="str">
        <x:v>e) 20 a 24 años</x:v>
      </x:c>
      <x:c r="E1734" s="1" t="n">
        <x:v>46</x:v>
      </x:c>
    </x:row>
    <x:row r="1735">
      <x:c r="A1735" t="str">
        <x:v>TLAHUAC</x:v>
      </x:c>
      <x:c r="B1735" t="str">
        <x:v>San Ignacio de Loyola</x:v>
      </x:c>
      <x:c r="C1735" t="str">
        <x:v>Hombre</x:v>
      </x:c>
      <x:c r="D1735" t="str">
        <x:v>f) 25 a 29 años</x:v>
      </x:c>
      <x:c r="E1735" s="1" t="n">
        <x:v>34</x:v>
      </x:c>
    </x:row>
    <x:row r="1736">
      <x:c r="A1736" t="str">
        <x:v>TLAHUAC</x:v>
      </x:c>
      <x:c r="B1736" t="str">
        <x:v>San Ignacio de Loyola</x:v>
      </x:c>
      <x:c r="C1736" t="str">
        <x:v>Hombre</x:v>
      </x:c>
      <x:c r="D1736" t="str">
        <x:v>g) 30 a 34 años</x:v>
      </x:c>
      <x:c r="E1736" s="1" t="n">
        <x:v>33</x:v>
      </x:c>
    </x:row>
    <x:row r="1737">
      <x:c r="A1737" t="str">
        <x:v>TLAHUAC</x:v>
      </x:c>
      <x:c r="B1737" t="str">
        <x:v>San Ignacio de Loyola</x:v>
      </x:c>
      <x:c r="C1737" t="str">
        <x:v>Hombre</x:v>
      </x:c>
      <x:c r="D1737" t="str">
        <x:v>h) 35 a 39 años</x:v>
      </x:c>
      <x:c r="E1737" s="1" t="n">
        <x:v>22</x:v>
      </x:c>
    </x:row>
    <x:row r="1738">
      <x:c r="A1738" t="str">
        <x:v>TLAHUAC</x:v>
      </x:c>
      <x:c r="B1738" t="str">
        <x:v>San Ignacio de Loyola</x:v>
      </x:c>
      <x:c r="C1738" t="str">
        <x:v>Hombre</x:v>
      </x:c>
      <x:c r="D1738" t="str">
        <x:v>i) 40 a 44 años</x:v>
      </x:c>
      <x:c r="E1738" s="1" t="n">
        <x:v>31</x:v>
      </x:c>
    </x:row>
    <x:row r="1739">
      <x:c r="A1739" t="str">
        <x:v>TLAHUAC</x:v>
      </x:c>
      <x:c r="B1739" t="str">
        <x:v>San Ignacio de Loyola</x:v>
      </x:c>
      <x:c r="C1739" t="str">
        <x:v>Hombre</x:v>
      </x:c>
      <x:c r="D1739" t="str">
        <x:v>j) 45 a 49 años</x:v>
      </x:c>
      <x:c r="E1739" s="1" t="n">
        <x:v>29</x:v>
      </x:c>
    </x:row>
    <x:row r="1740">
      <x:c r="A1740" t="str">
        <x:v>TLAHUAC</x:v>
      </x:c>
      <x:c r="B1740" t="str">
        <x:v>San Ignacio de Loyola</x:v>
      </x:c>
      <x:c r="C1740" t="str">
        <x:v>Hombre</x:v>
      </x:c>
      <x:c r="D1740" t="str">
        <x:v>k) 50 a 54 años</x:v>
      </x:c>
      <x:c r="E1740" s="1" t="n">
        <x:v>28</x:v>
      </x:c>
    </x:row>
    <x:row r="1741">
      <x:c r="A1741" t="str">
        <x:v>TLAHUAC</x:v>
      </x:c>
      <x:c r="B1741" t="str">
        <x:v>San Ignacio de Loyola</x:v>
      </x:c>
      <x:c r="C1741" t="str">
        <x:v>Hombre</x:v>
      </x:c>
      <x:c r="D1741" t="str">
        <x:v>l) 55 a 59 años</x:v>
      </x:c>
      <x:c r="E1741" s="1" t="n">
        <x:v>15</x:v>
      </x:c>
    </x:row>
    <x:row r="1742">
      <x:c r="A1742" t="str">
        <x:v>TLAHUAC</x:v>
      </x:c>
      <x:c r="B1742" t="str">
        <x:v>San Ignacio de Loyola</x:v>
      </x:c>
      <x:c r="C1742" t="str">
        <x:v>Hombre</x:v>
      </x:c>
      <x:c r="D1742" t="str">
        <x:v>m) 60 a 64 años</x:v>
      </x:c>
      <x:c r="E1742" s="1" t="n">
        <x:v>8</x:v>
      </x:c>
    </x:row>
    <x:row r="1743">
      <x:c r="A1743" t="str">
        <x:v>TLAHUAC</x:v>
      </x:c>
      <x:c r="B1743" t="str">
        <x:v>San Ignacio de Loyola</x:v>
      </x:c>
      <x:c r="C1743" t="str">
        <x:v>Hombre</x:v>
      </x:c>
      <x:c r="D1743" t="str">
        <x:v>n) 65 a 69 años</x:v>
      </x:c>
      <x:c r="E1743" s="1" t="n">
        <x:v>6</x:v>
      </x:c>
    </x:row>
    <x:row r="1744">
      <x:c r="A1744" t="str">
        <x:v>TLAHUAC</x:v>
      </x:c>
      <x:c r="B1744" t="str">
        <x:v>San Ignacio de Loyola</x:v>
      </x:c>
      <x:c r="C1744" t="str">
        <x:v>Hombre</x:v>
      </x:c>
      <x:c r="D1744" t="str">
        <x:v>o) 70 a 74 años</x:v>
      </x:c>
      <x:c r="E1744" s="1" t="n">
        <x:v>6</x:v>
      </x:c>
    </x:row>
    <x:row r="1745">
      <x:c r="A1745" t="str">
        <x:v>TLAHUAC</x:v>
      </x:c>
      <x:c r="B1745" t="str">
        <x:v>San Ignacio de Loyola</x:v>
      </x:c>
      <x:c r="C1745" t="str">
        <x:v>Hombre</x:v>
      </x:c>
      <x:c r="D1745" t="str">
        <x:v>p) 75 a 79 años</x:v>
      </x:c>
      <x:c r="E1745" s="1" t="n">
        <x:v>4</x:v>
      </x:c>
    </x:row>
    <x:row r="1746">
      <x:c r="A1746" t="str">
        <x:v>TLAHUAC</x:v>
      </x:c>
      <x:c r="B1746" t="str">
        <x:v>San Ignacio de Loyola</x:v>
      </x:c>
      <x:c r="C1746" t="str">
        <x:v>Hombre</x:v>
      </x:c>
      <x:c r="D1746" t="str">
        <x:v>q) 80 a 84 años</x:v>
      </x:c>
      <x:c r="E1746" s="1" t="n">
        <x:v>0</x:v>
      </x:c>
    </x:row>
    <x:row r="1747">
      <x:c r="A1747" t="str">
        <x:v>TLAHUAC</x:v>
      </x:c>
      <x:c r="B1747" t="str">
        <x:v>San Ignacio de Loyola</x:v>
      </x:c>
      <x:c r="C1747" t="str">
        <x:v>Hombre</x:v>
      </x:c>
      <x:c r="D1747" t="str">
        <x:v>r) 85 años y más</x:v>
      </x:c>
      <x:c r="E1747" s="1" t="n">
        <x:v>0</x:v>
      </x:c>
    </x:row>
    <x:row r="1748">
      <x:c r="A1748" t="str">
        <x:v>TLAHUAC</x:v>
      </x:c>
      <x:c r="B1748" t="str">
        <x:v>San Ignacio de Loyola</x:v>
      </x:c>
      <x:c r="C1748" t="str">
        <x:v>Mujer</x:v>
      </x:c>
      <x:c r="D1748" t="str">
        <x:v>a) 0 a 4 años</x:v>
      </x:c>
      <x:c r="E1748" s="1" t="n">
        <x:v>34</x:v>
      </x:c>
    </x:row>
    <x:row r="1749">
      <x:c r="A1749" t="str">
        <x:v>TLAHUAC</x:v>
      </x:c>
      <x:c r="B1749" t="str">
        <x:v>San Ignacio de Loyola</x:v>
      </x:c>
      <x:c r="C1749" t="str">
        <x:v>Mujer</x:v>
      </x:c>
      <x:c r="D1749" t="str">
        <x:v>b) 5 a 9 años</x:v>
      </x:c>
      <x:c r="E1749" s="1" t="n">
        <x:v>38</x:v>
      </x:c>
    </x:row>
    <x:row r="1750">
      <x:c r="A1750" t="str">
        <x:v>TLAHUAC</x:v>
      </x:c>
      <x:c r="B1750" t="str">
        <x:v>San Ignacio de Loyola</x:v>
      </x:c>
      <x:c r="C1750" t="str">
        <x:v>Mujer</x:v>
      </x:c>
      <x:c r="D1750" t="str">
        <x:v>c) 10 a 14 años</x:v>
      </x:c>
      <x:c r="E1750" s="1" t="n">
        <x:v>48</x:v>
      </x:c>
    </x:row>
    <x:row r="1751">
      <x:c r="A1751" t="str">
        <x:v>TLAHUAC</x:v>
      </x:c>
      <x:c r="B1751" t="str">
        <x:v>San Ignacio de Loyola</x:v>
      </x:c>
      <x:c r="C1751" t="str">
        <x:v>Mujer</x:v>
      </x:c>
      <x:c r="D1751" t="str">
        <x:v>d) 15 a 19 años</x:v>
      </x:c>
      <x:c r="E1751" s="1" t="n">
        <x:v>54</x:v>
      </x:c>
    </x:row>
    <x:row r="1752">
      <x:c r="A1752" t="str">
        <x:v>TLAHUAC</x:v>
      </x:c>
      <x:c r="B1752" t="str">
        <x:v>San Ignacio de Loyola</x:v>
      </x:c>
      <x:c r="C1752" t="str">
        <x:v>Mujer</x:v>
      </x:c>
      <x:c r="D1752" t="str">
        <x:v>e) 20 a 24 años</x:v>
      </x:c>
      <x:c r="E1752" s="1" t="n">
        <x:v>44</x:v>
      </x:c>
    </x:row>
    <x:row r="1753">
      <x:c r="A1753" t="str">
        <x:v>TLAHUAC</x:v>
      </x:c>
      <x:c r="B1753" t="str">
        <x:v>San Ignacio de Loyola</x:v>
      </x:c>
      <x:c r="C1753" t="str">
        <x:v>Mujer</x:v>
      </x:c>
      <x:c r="D1753" t="str">
        <x:v>f) 25 a 29 años</x:v>
      </x:c>
      <x:c r="E1753" s="1" t="n">
        <x:v>34</x:v>
      </x:c>
    </x:row>
    <x:row r="1754">
      <x:c r="A1754" t="str">
        <x:v>TLAHUAC</x:v>
      </x:c>
      <x:c r="B1754" t="str">
        <x:v>San Ignacio de Loyola</x:v>
      </x:c>
      <x:c r="C1754" t="str">
        <x:v>Mujer</x:v>
      </x:c>
      <x:c r="D1754" t="str">
        <x:v>g) 30 a 34 años</x:v>
      </x:c>
      <x:c r="E1754" s="1" t="n">
        <x:v>30</x:v>
      </x:c>
    </x:row>
    <x:row r="1755">
      <x:c r="A1755" t="str">
        <x:v>TLAHUAC</x:v>
      </x:c>
      <x:c r="B1755" t="str">
        <x:v>San Ignacio de Loyola</x:v>
      </x:c>
      <x:c r="C1755" t="str">
        <x:v>Mujer</x:v>
      </x:c>
      <x:c r="D1755" t="str">
        <x:v>h) 35 a 39 años</x:v>
      </x:c>
      <x:c r="E1755" s="1" t="n">
        <x:v>32</x:v>
      </x:c>
    </x:row>
    <x:row r="1756">
      <x:c r="A1756" t="str">
        <x:v>TLAHUAC</x:v>
      </x:c>
      <x:c r="B1756" t="str">
        <x:v>San Ignacio de Loyola</x:v>
      </x:c>
      <x:c r="C1756" t="str">
        <x:v>Mujer</x:v>
      </x:c>
      <x:c r="D1756" t="str">
        <x:v>i) 40 a 44 años</x:v>
      </x:c>
      <x:c r="E1756" s="1" t="n">
        <x:v>40</x:v>
      </x:c>
    </x:row>
    <x:row r="1757">
      <x:c r="A1757" t="str">
        <x:v>TLAHUAC</x:v>
      </x:c>
      <x:c r="B1757" t="str">
        <x:v>San Ignacio de Loyola</x:v>
      </x:c>
      <x:c r="C1757" t="str">
        <x:v>Mujer</x:v>
      </x:c>
      <x:c r="D1757" t="str">
        <x:v>j) 45 a 49 años</x:v>
      </x:c>
      <x:c r="E1757" s="1" t="n">
        <x:v>31</x:v>
      </x:c>
    </x:row>
    <x:row r="1758">
      <x:c r="A1758" t="str">
        <x:v>TLAHUAC</x:v>
      </x:c>
      <x:c r="B1758" t="str">
        <x:v>San Ignacio de Loyola</x:v>
      </x:c>
      <x:c r="C1758" t="str">
        <x:v>Mujer</x:v>
      </x:c>
      <x:c r="D1758" t="str">
        <x:v>k) 50 a 54 años</x:v>
      </x:c>
      <x:c r="E1758" s="1" t="n">
        <x:v>27</x:v>
      </x:c>
    </x:row>
    <x:row r="1759">
      <x:c r="A1759" t="str">
        <x:v>TLAHUAC</x:v>
      </x:c>
      <x:c r="B1759" t="str">
        <x:v>San Ignacio de Loyola</x:v>
      </x:c>
      <x:c r="C1759" t="str">
        <x:v>Mujer</x:v>
      </x:c>
      <x:c r="D1759" t="str">
        <x:v>l) 55 a 59 años</x:v>
      </x:c>
      <x:c r="E1759" s="1" t="n">
        <x:v>11</x:v>
      </x:c>
    </x:row>
    <x:row r="1760">
      <x:c r="A1760" t="str">
        <x:v>TLAHUAC</x:v>
      </x:c>
      <x:c r="B1760" t="str">
        <x:v>San Ignacio de Loyola</x:v>
      </x:c>
      <x:c r="C1760" t="str">
        <x:v>Mujer</x:v>
      </x:c>
      <x:c r="D1760" t="str">
        <x:v>m) 60 a 64 años</x:v>
      </x:c>
      <x:c r="E1760" s="1" t="n">
        <x:v>8</x:v>
      </x:c>
    </x:row>
    <x:row r="1761">
      <x:c r="A1761" t="str">
        <x:v>TLAHUAC</x:v>
      </x:c>
      <x:c r="B1761" t="str">
        <x:v>San Ignacio de Loyola</x:v>
      </x:c>
      <x:c r="C1761" t="str">
        <x:v>Mujer</x:v>
      </x:c>
      <x:c r="D1761" t="str">
        <x:v>n) 65 a 69 años</x:v>
      </x:c>
      <x:c r="E1761" s="1" t="n">
        <x:v>5</x:v>
      </x:c>
    </x:row>
    <x:row r="1762">
      <x:c r="A1762" t="str">
        <x:v>TLAHUAC</x:v>
      </x:c>
      <x:c r="B1762" t="str">
        <x:v>San Ignacio de Loyola</x:v>
      </x:c>
      <x:c r="C1762" t="str">
        <x:v>Mujer</x:v>
      </x:c>
      <x:c r="D1762" t="str">
        <x:v>o) 70 a 74 años</x:v>
      </x:c>
      <x:c r="E1762" s="1" t="n">
        <x:v>6</x:v>
      </x:c>
    </x:row>
    <x:row r="1763">
      <x:c r="A1763" t="str">
        <x:v>TLAHUAC</x:v>
      </x:c>
      <x:c r="B1763" t="str">
        <x:v>San Ignacio de Loyola</x:v>
      </x:c>
      <x:c r="C1763" t="str">
        <x:v>Mujer</x:v>
      </x:c>
      <x:c r="D1763" t="str">
        <x:v>p) 75 a 79 años</x:v>
      </x:c>
      <x:c r="E1763" s="1" t="n">
        <x:v>4</x:v>
      </x:c>
    </x:row>
    <x:row r="1764">
      <x:c r="A1764" t="str">
        <x:v>TLAHUAC</x:v>
      </x:c>
      <x:c r="B1764" t="str">
        <x:v>San Ignacio de Loyola</x:v>
      </x:c>
      <x:c r="C1764" t="str">
        <x:v>Mujer</x:v>
      </x:c>
      <x:c r="D1764" t="str">
        <x:v>q) 80 a 84 años</x:v>
      </x:c>
      <x:c r="E1764" s="1" t="n">
        <x:v>2</x:v>
      </x:c>
    </x:row>
    <x:row r="1765">
      <x:c r="A1765" t="str">
        <x:v>TLAHUAC</x:v>
      </x:c>
      <x:c r="B1765" t="str">
        <x:v>San Ignacio de Loyola</x:v>
      </x:c>
      <x:c r="C1765" t="str">
        <x:v>Mujer</x:v>
      </x:c>
      <x:c r="D1765" t="str">
        <x:v>r) 85 años y más</x:v>
      </x:c>
      <x:c r="E1765" s="1" t="n">
        <x:v>1</x:v>
      </x:c>
    </x:row>
    <x:row r="1766">
      <x:c r="A1766" t="str">
        <x:v>TLAHUAC</x:v>
      </x:c>
      <x:c r="B1766" t="str">
        <x:v>La Ciénega</x:v>
      </x:c>
      <x:c r="C1766" t="str">
        <x:v>Hombre</x:v>
      </x:c>
      <x:c r="D1766" t="str">
        <x:v>a) 0 a 4 años</x:v>
      </x:c>
      <x:c r="E1766" s="1" t="n">
        <x:v>134</x:v>
      </x:c>
    </x:row>
    <x:row r="1767">
      <x:c r="A1767" t="str">
        <x:v>TLAHUAC</x:v>
      </x:c>
      <x:c r="B1767" t="str">
        <x:v>La Ciénega</x:v>
      </x:c>
      <x:c r="C1767" t="str">
        <x:v>Hombre</x:v>
      </x:c>
      <x:c r="D1767" t="str">
        <x:v>b) 5 a 9 años</x:v>
      </x:c>
      <x:c r="E1767" s="1" t="n">
        <x:v>152</x:v>
      </x:c>
    </x:row>
    <x:row r="1768">
      <x:c r="A1768" t="str">
        <x:v>TLAHUAC</x:v>
      </x:c>
      <x:c r="B1768" t="str">
        <x:v>La Ciénega</x:v>
      </x:c>
      <x:c r="C1768" t="str">
        <x:v>Hombre</x:v>
      </x:c>
      <x:c r="D1768" t="str">
        <x:v>c) 10 a 14 años</x:v>
      </x:c>
      <x:c r="E1768" s="1" t="n">
        <x:v>172</x:v>
      </x:c>
    </x:row>
    <x:row r="1769">
      <x:c r="A1769" t="str">
        <x:v>TLAHUAC</x:v>
      </x:c>
      <x:c r="B1769" t="str">
        <x:v>La Ciénega</x:v>
      </x:c>
      <x:c r="C1769" t="str">
        <x:v>Hombre</x:v>
      </x:c>
      <x:c r="D1769" t="str">
        <x:v>d) 15 a 19 años</x:v>
      </x:c>
      <x:c r="E1769" s="1" t="n">
        <x:v>142</x:v>
      </x:c>
    </x:row>
    <x:row r="1770">
      <x:c r="A1770" t="str">
        <x:v>TLAHUAC</x:v>
      </x:c>
      <x:c r="B1770" t="str">
        <x:v>La Ciénega</x:v>
      </x:c>
      <x:c r="C1770" t="str">
        <x:v>Hombre</x:v>
      </x:c>
      <x:c r="D1770" t="str">
        <x:v>e) 20 a 24 años</x:v>
      </x:c>
      <x:c r="E1770" s="1" t="n">
        <x:v>138</x:v>
      </x:c>
    </x:row>
    <x:row r="1771">
      <x:c r="A1771" t="str">
        <x:v>TLAHUAC</x:v>
      </x:c>
      <x:c r="B1771" t="str">
        <x:v>La Ciénega</x:v>
      </x:c>
      <x:c r="C1771" t="str">
        <x:v>Hombre</x:v>
      </x:c>
      <x:c r="D1771" t="str">
        <x:v>f) 25 a 29 años</x:v>
      </x:c>
      <x:c r="E1771" s="1" t="n">
        <x:v>135</x:v>
      </x:c>
    </x:row>
    <x:row r="1772">
      <x:c r="A1772" t="str">
        <x:v>TLAHUAC</x:v>
      </x:c>
      <x:c r="B1772" t="str">
        <x:v>La Ciénega</x:v>
      </x:c>
      <x:c r="C1772" t="str">
        <x:v>Hombre</x:v>
      </x:c>
      <x:c r="D1772" t="str">
        <x:v>g) 30 a 34 años</x:v>
      </x:c>
      <x:c r="E1772" s="1" t="n">
        <x:v>127</x:v>
      </x:c>
    </x:row>
    <x:row r="1773">
      <x:c r="A1773" t="str">
        <x:v>TLAHUAC</x:v>
      </x:c>
      <x:c r="B1773" t="str">
        <x:v>La Ciénega</x:v>
      </x:c>
      <x:c r="C1773" t="str">
        <x:v>Hombre</x:v>
      </x:c>
      <x:c r="D1773" t="str">
        <x:v>h) 35 a 39 años</x:v>
      </x:c>
      <x:c r="E1773" s="1" t="n">
        <x:v>92</x:v>
      </x:c>
    </x:row>
    <x:row r="1774">
      <x:c r="A1774" t="str">
        <x:v>TLAHUAC</x:v>
      </x:c>
      <x:c r="B1774" t="str">
        <x:v>La Ciénega</x:v>
      </x:c>
      <x:c r="C1774" t="str">
        <x:v>Hombre</x:v>
      </x:c>
      <x:c r="D1774" t="str">
        <x:v>i) 40 a 44 años</x:v>
      </x:c>
      <x:c r="E1774" s="1" t="n">
        <x:v>105</x:v>
      </x:c>
    </x:row>
    <x:row r="1775">
      <x:c r="A1775" t="str">
        <x:v>TLAHUAC</x:v>
      </x:c>
      <x:c r="B1775" t="str">
        <x:v>La Ciénega</x:v>
      </x:c>
      <x:c r="C1775" t="str">
        <x:v>Hombre</x:v>
      </x:c>
      <x:c r="D1775" t="str">
        <x:v>j) 45 a 49 años</x:v>
      </x:c>
      <x:c r="E1775" s="1" t="n">
        <x:v>110</x:v>
      </x:c>
    </x:row>
    <x:row r="1776">
      <x:c r="A1776" t="str">
        <x:v>TLAHUAC</x:v>
      </x:c>
      <x:c r="B1776" t="str">
        <x:v>La Ciénega</x:v>
      </x:c>
      <x:c r="C1776" t="str">
        <x:v>Hombre</x:v>
      </x:c>
      <x:c r="D1776" t="str">
        <x:v>k) 50 a 54 años</x:v>
      </x:c>
      <x:c r="E1776" s="1" t="n">
        <x:v>70</x:v>
      </x:c>
    </x:row>
    <x:row r="1777">
      <x:c r="A1777" t="str">
        <x:v>TLAHUAC</x:v>
      </x:c>
      <x:c r="B1777" t="str">
        <x:v>La Ciénega</x:v>
      </x:c>
      <x:c r="C1777" t="str">
        <x:v>Hombre</x:v>
      </x:c>
      <x:c r="D1777" t="str">
        <x:v>l) 55 a 59 años</x:v>
      </x:c>
      <x:c r="E1777" s="1" t="n">
        <x:v>40</x:v>
      </x:c>
    </x:row>
    <x:row r="1778">
      <x:c r="A1778" t="str">
        <x:v>TLAHUAC</x:v>
      </x:c>
      <x:c r="B1778" t="str">
        <x:v>La Ciénega</x:v>
      </x:c>
      <x:c r="C1778" t="str">
        <x:v>Hombre</x:v>
      </x:c>
      <x:c r="D1778" t="str">
        <x:v>m) 60 a 64 años</x:v>
      </x:c>
      <x:c r="E1778" s="1" t="n">
        <x:v>32</x:v>
      </x:c>
    </x:row>
    <x:row r="1779">
      <x:c r="A1779" t="str">
        <x:v>TLAHUAC</x:v>
      </x:c>
      <x:c r="B1779" t="str">
        <x:v>La Ciénega</x:v>
      </x:c>
      <x:c r="C1779" t="str">
        <x:v>Hombre</x:v>
      </x:c>
      <x:c r="D1779" t="str">
        <x:v>n) 65 a 69 años</x:v>
      </x:c>
      <x:c r="E1779" s="1" t="n">
        <x:v>19</x:v>
      </x:c>
    </x:row>
    <x:row r="1780">
      <x:c r="A1780" t="str">
        <x:v>TLAHUAC</x:v>
      </x:c>
      <x:c r="B1780" t="str">
        <x:v>La Ciénega</x:v>
      </x:c>
      <x:c r="C1780" t="str">
        <x:v>Hombre</x:v>
      </x:c>
      <x:c r="D1780" t="str">
        <x:v>o) 70 a 74 años</x:v>
      </x:c>
      <x:c r="E1780" s="1" t="n">
        <x:v>12</x:v>
      </x:c>
    </x:row>
    <x:row r="1781">
      <x:c r="A1781" t="str">
        <x:v>TLAHUAC</x:v>
      </x:c>
      <x:c r="B1781" t="str">
        <x:v>La Ciénega</x:v>
      </x:c>
      <x:c r="C1781" t="str">
        <x:v>Hombre</x:v>
      </x:c>
      <x:c r="D1781" t="str">
        <x:v>p) 75 a 79 años</x:v>
      </x:c>
      <x:c r="E1781" s="1" t="n">
        <x:v>5</x:v>
      </x:c>
    </x:row>
    <x:row r="1782">
      <x:c r="A1782" t="str">
        <x:v>TLAHUAC</x:v>
      </x:c>
      <x:c r="B1782" t="str">
        <x:v>La Ciénega</x:v>
      </x:c>
      <x:c r="C1782" t="str">
        <x:v>Hombre</x:v>
      </x:c>
      <x:c r="D1782" t="str">
        <x:v>q) 80 a 84 años</x:v>
      </x:c>
      <x:c r="E1782" s="1" t="n">
        <x:v>3</x:v>
      </x:c>
    </x:row>
    <x:row r="1783">
      <x:c r="A1783" t="str">
        <x:v>TLAHUAC</x:v>
      </x:c>
      <x:c r="B1783" t="str">
        <x:v>La Ciénega</x:v>
      </x:c>
      <x:c r="C1783" t="str">
        <x:v>Hombre</x:v>
      </x:c>
      <x:c r="D1783" t="str">
        <x:v>r) 85 años y más</x:v>
      </x:c>
      <x:c r="E1783" s="1" t="n">
        <x:v>2</x:v>
      </x:c>
    </x:row>
    <x:row r="1784">
      <x:c r="A1784" t="str">
        <x:v>TLAHUAC</x:v>
      </x:c>
      <x:c r="B1784" t="str">
        <x:v>La Ciénega</x:v>
      </x:c>
      <x:c r="C1784" t="str">
        <x:v>Mujer</x:v>
      </x:c>
      <x:c r="D1784" t="str">
        <x:v>a) 0 a 4 años</x:v>
      </x:c>
      <x:c r="E1784" s="1" t="n">
        <x:v>165</x:v>
      </x:c>
    </x:row>
    <x:row r="1785">
      <x:c r="A1785" t="str">
        <x:v>TLAHUAC</x:v>
      </x:c>
      <x:c r="B1785" t="str">
        <x:v>La Ciénega</x:v>
      </x:c>
      <x:c r="C1785" t="str">
        <x:v>Mujer</x:v>
      </x:c>
      <x:c r="D1785" t="str">
        <x:v>b) 5 a 9 años</x:v>
      </x:c>
      <x:c r="E1785" s="1" t="n">
        <x:v>174</x:v>
      </x:c>
    </x:row>
    <x:row r="1786">
      <x:c r="A1786" t="str">
        <x:v>TLAHUAC</x:v>
      </x:c>
      <x:c r="B1786" t="str">
        <x:v>La Ciénega</x:v>
      </x:c>
      <x:c r="C1786" t="str">
        <x:v>Mujer</x:v>
      </x:c>
      <x:c r="D1786" t="str">
        <x:v>c) 10 a 14 años</x:v>
      </x:c>
      <x:c r="E1786" s="1" t="n">
        <x:v>172</x:v>
      </x:c>
    </x:row>
    <x:row r="1787">
      <x:c r="A1787" t="str">
        <x:v>TLAHUAC</x:v>
      </x:c>
      <x:c r="B1787" t="str">
        <x:v>La Ciénega</x:v>
      </x:c>
      <x:c r="C1787" t="str">
        <x:v>Mujer</x:v>
      </x:c>
      <x:c r="D1787" t="str">
        <x:v>d) 15 a 19 años</x:v>
      </x:c>
      <x:c r="E1787" s="1" t="n">
        <x:v>134</x:v>
      </x:c>
    </x:row>
    <x:row r="1788">
      <x:c r="A1788" t="str">
        <x:v>TLAHUAC</x:v>
      </x:c>
      <x:c r="B1788" t="str">
        <x:v>La Ciénega</x:v>
      </x:c>
      <x:c r="C1788" t="str">
        <x:v>Mujer</x:v>
      </x:c>
      <x:c r="D1788" t="str">
        <x:v>e) 20 a 24 años</x:v>
      </x:c>
      <x:c r="E1788" s="1" t="n">
        <x:v>149</x:v>
      </x:c>
    </x:row>
    <x:row r="1789">
      <x:c r="A1789" t="str">
        <x:v>TLAHUAC</x:v>
      </x:c>
      <x:c r="B1789" t="str">
        <x:v>La Ciénega</x:v>
      </x:c>
      <x:c r="C1789" t="str">
        <x:v>Mujer</x:v>
      </x:c>
      <x:c r="D1789" t="str">
        <x:v>f) 25 a 29 años</x:v>
      </x:c>
      <x:c r="E1789" s="1" t="n">
        <x:v>157</x:v>
      </x:c>
    </x:row>
    <x:row r="1790">
      <x:c r="A1790" t="str">
        <x:v>TLAHUAC</x:v>
      </x:c>
      <x:c r="B1790" t="str">
        <x:v>La Ciénega</x:v>
      </x:c>
      <x:c r="C1790" t="str">
        <x:v>Mujer</x:v>
      </x:c>
      <x:c r="D1790" t="str">
        <x:v>g) 30 a 34 años</x:v>
      </x:c>
      <x:c r="E1790" s="1" t="n">
        <x:v>135</x:v>
      </x:c>
    </x:row>
    <x:row r="1791">
      <x:c r="A1791" t="str">
        <x:v>TLAHUAC</x:v>
      </x:c>
      <x:c r="B1791" t="str">
        <x:v>La Ciénega</x:v>
      </x:c>
      <x:c r="C1791" t="str">
        <x:v>Mujer</x:v>
      </x:c>
      <x:c r="D1791" t="str">
        <x:v>h) 35 a 39 años</x:v>
      </x:c>
      <x:c r="E1791" s="1" t="n">
        <x:v>123</x:v>
      </x:c>
    </x:row>
    <x:row r="1792">
      <x:c r="A1792" t="str">
        <x:v>TLAHUAC</x:v>
      </x:c>
      <x:c r="B1792" t="str">
        <x:v>La Ciénega</x:v>
      </x:c>
      <x:c r="C1792" t="str">
        <x:v>Mujer</x:v>
      </x:c>
      <x:c r="D1792" t="str">
        <x:v>i) 40 a 44 años</x:v>
      </x:c>
      <x:c r="E1792" s="1" t="n">
        <x:v>88</x:v>
      </x:c>
    </x:row>
    <x:row r="1793">
      <x:c r="A1793" t="str">
        <x:v>TLAHUAC</x:v>
      </x:c>
      <x:c r="B1793" t="str">
        <x:v>La Ciénega</x:v>
      </x:c>
      <x:c r="C1793" t="str">
        <x:v>Mujer</x:v>
      </x:c>
      <x:c r="D1793" t="str">
        <x:v>j) 45 a 49 años</x:v>
      </x:c>
      <x:c r="E1793" s="1" t="n">
        <x:v>99</x:v>
      </x:c>
    </x:row>
    <x:row r="1794">
      <x:c r="A1794" t="str">
        <x:v>TLAHUAC</x:v>
      </x:c>
      <x:c r="B1794" t="str">
        <x:v>La Ciénega</x:v>
      </x:c>
      <x:c r="C1794" t="str">
        <x:v>Mujer</x:v>
      </x:c>
      <x:c r="D1794" t="str">
        <x:v>k) 50 a 54 años</x:v>
      </x:c>
      <x:c r="E1794" s="1" t="n">
        <x:v>66</x:v>
      </x:c>
    </x:row>
    <x:row r="1795">
      <x:c r="A1795" t="str">
        <x:v>TLAHUAC</x:v>
      </x:c>
      <x:c r="B1795" t="str">
        <x:v>La Ciénega</x:v>
      </x:c>
      <x:c r="C1795" t="str">
        <x:v>Mujer</x:v>
      </x:c>
      <x:c r="D1795" t="str">
        <x:v>l) 55 a 59 años</x:v>
      </x:c>
      <x:c r="E1795" s="1" t="n">
        <x:v>35</x:v>
      </x:c>
    </x:row>
    <x:row r="1796">
      <x:c r="A1796" t="str">
        <x:v>TLAHUAC</x:v>
      </x:c>
      <x:c r="B1796" t="str">
        <x:v>La Ciénega</x:v>
      </x:c>
      <x:c r="C1796" t="str">
        <x:v>Mujer</x:v>
      </x:c>
      <x:c r="D1796" t="str">
        <x:v>m) 60 a 64 años</x:v>
      </x:c>
      <x:c r="E1796" s="1" t="n">
        <x:v>28</x:v>
      </x:c>
    </x:row>
    <x:row r="1797">
      <x:c r="A1797" t="str">
        <x:v>TLAHUAC</x:v>
      </x:c>
      <x:c r="B1797" t="str">
        <x:v>La Ciénega</x:v>
      </x:c>
      <x:c r="C1797" t="str">
        <x:v>Mujer</x:v>
      </x:c>
      <x:c r="D1797" t="str">
        <x:v>n) 65 a 69 años</x:v>
      </x:c>
      <x:c r="E1797" s="1" t="n">
        <x:v>20</x:v>
      </x:c>
    </x:row>
    <x:row r="1798">
      <x:c r="A1798" t="str">
        <x:v>TLAHUAC</x:v>
      </x:c>
      <x:c r="B1798" t="str">
        <x:v>La Ciénega</x:v>
      </x:c>
      <x:c r="C1798" t="str">
        <x:v>Mujer</x:v>
      </x:c>
      <x:c r="D1798" t="str">
        <x:v>o) 70 a 74 años</x:v>
      </x:c>
      <x:c r="E1798" s="1" t="n">
        <x:v>11</x:v>
      </x:c>
    </x:row>
    <x:row r="1799">
      <x:c r="A1799" t="str">
        <x:v>TLAHUAC</x:v>
      </x:c>
      <x:c r="B1799" t="str">
        <x:v>La Ciénega</x:v>
      </x:c>
      <x:c r="C1799" t="str">
        <x:v>Mujer</x:v>
      </x:c>
      <x:c r="D1799" t="str">
        <x:v>p) 75 a 79 años</x:v>
      </x:c>
      <x:c r="E1799" s="1" t="n">
        <x:v>3</x:v>
      </x:c>
    </x:row>
    <x:row r="1800">
      <x:c r="A1800" t="str">
        <x:v>TLAHUAC</x:v>
      </x:c>
      <x:c r="B1800" t="str">
        <x:v>La Ciénega</x:v>
      </x:c>
      <x:c r="C1800" t="str">
        <x:v>Mujer</x:v>
      </x:c>
      <x:c r="D1800" t="str">
        <x:v>q) 80 a 84 años</x:v>
      </x:c>
      <x:c r="E1800" s="1" t="n">
        <x:v>1</x:v>
      </x:c>
    </x:row>
    <x:row r="1801">
      <x:c r="A1801" t="str">
        <x:v>TLAHUAC</x:v>
      </x:c>
      <x:c r="B1801" t="str">
        <x:v>La Ciénega</x:v>
      </x:c>
      <x:c r="C1801" t="str">
        <x:v>Mujer</x:v>
      </x:c>
      <x:c r="D1801" t="str">
        <x:v>r) 85 años y más</x:v>
      </x:c>
      <x:c r="E1801" s="1" t="n">
        <x:v>0</x:v>
      </x:c>
    </x:row>
    <x:row r="1802">
      <x:c r="A1802" t="str">
        <x:v>TLAHUAC</x:v>
      </x:c>
      <x:c r="B1802" t="str">
        <x:v>El Paraíso (Mecoxtla)</x:v>
      </x:c>
      <x:c r="C1802" t="str">
        <x:v>Hombre</x:v>
      </x:c>
      <x:c r="D1802" t="str">
        <x:v>a) 0 a 4 años</x:v>
      </x:c>
      <x:c r="E1802" s="1" t="n">
        <x:v>59</x:v>
      </x:c>
    </x:row>
    <x:row r="1803">
      <x:c r="A1803" t="str">
        <x:v>TLAHUAC</x:v>
      </x:c>
      <x:c r="B1803" t="str">
        <x:v>El Paraíso (Mecoxtla)</x:v>
      </x:c>
      <x:c r="C1803" t="str">
        <x:v>Hombre</x:v>
      </x:c>
      <x:c r="D1803" t="str">
        <x:v>b) 5 a 9 años</x:v>
      </x:c>
      <x:c r="E1803" s="1" t="n">
        <x:v>92</x:v>
      </x:c>
    </x:row>
    <x:row r="1804">
      <x:c r="A1804" t="str">
        <x:v>TLAHUAC</x:v>
      </x:c>
      <x:c r="B1804" t="str">
        <x:v>El Paraíso (Mecoxtla)</x:v>
      </x:c>
      <x:c r="C1804" t="str">
        <x:v>Hombre</x:v>
      </x:c>
      <x:c r="D1804" t="str">
        <x:v>c) 10 a 14 años</x:v>
      </x:c>
      <x:c r="E1804" s="1" t="n">
        <x:v>84</x:v>
      </x:c>
    </x:row>
    <x:row r="1805">
      <x:c r="A1805" t="str">
        <x:v>TLAHUAC</x:v>
      </x:c>
      <x:c r="B1805" t="str">
        <x:v>El Paraíso (Mecoxtla)</x:v>
      </x:c>
      <x:c r="C1805" t="str">
        <x:v>Hombre</x:v>
      </x:c>
      <x:c r="D1805" t="str">
        <x:v>d) 15 a 19 años</x:v>
      </x:c>
      <x:c r="E1805" s="1" t="n">
        <x:v>84</x:v>
      </x:c>
    </x:row>
    <x:row r="1806">
      <x:c r="A1806" t="str">
        <x:v>TLAHUAC</x:v>
      </x:c>
      <x:c r="B1806" t="str">
        <x:v>El Paraíso (Mecoxtla)</x:v>
      </x:c>
      <x:c r="C1806" t="str">
        <x:v>Hombre</x:v>
      </x:c>
      <x:c r="D1806" t="str">
        <x:v>e) 20 a 24 años</x:v>
      </x:c>
      <x:c r="E1806" s="1" t="n">
        <x:v>65</x:v>
      </x:c>
    </x:row>
    <x:row r="1807">
      <x:c r="A1807" t="str">
        <x:v>TLAHUAC</x:v>
      </x:c>
      <x:c r="B1807" t="str">
        <x:v>El Paraíso (Mecoxtla)</x:v>
      </x:c>
      <x:c r="C1807" t="str">
        <x:v>Hombre</x:v>
      </x:c>
      <x:c r="D1807" t="str">
        <x:v>f) 25 a 29 años</x:v>
      </x:c>
      <x:c r="E1807" s="1" t="n">
        <x:v>56</x:v>
      </x:c>
    </x:row>
    <x:row r="1808">
      <x:c r="A1808" t="str">
        <x:v>TLAHUAC</x:v>
      </x:c>
      <x:c r="B1808" t="str">
        <x:v>El Paraíso (Mecoxtla)</x:v>
      </x:c>
      <x:c r="C1808" t="str">
        <x:v>Hombre</x:v>
      </x:c>
      <x:c r="D1808" t="str">
        <x:v>g) 30 a 34 años</x:v>
      </x:c>
      <x:c r="E1808" s="1" t="n">
        <x:v>49</x:v>
      </x:c>
    </x:row>
    <x:row r="1809">
      <x:c r="A1809" t="str">
        <x:v>TLAHUAC</x:v>
      </x:c>
      <x:c r="B1809" t="str">
        <x:v>El Paraíso (Mecoxtla)</x:v>
      </x:c>
      <x:c r="C1809" t="str">
        <x:v>Hombre</x:v>
      </x:c>
      <x:c r="D1809" t="str">
        <x:v>h) 35 a 39 años</x:v>
      </x:c>
      <x:c r="E1809" s="1" t="n">
        <x:v>53</x:v>
      </x:c>
    </x:row>
    <x:row r="1810">
      <x:c r="A1810" t="str">
        <x:v>TLAHUAC</x:v>
      </x:c>
      <x:c r="B1810" t="str">
        <x:v>El Paraíso (Mecoxtla)</x:v>
      </x:c>
      <x:c r="C1810" t="str">
        <x:v>Hombre</x:v>
      </x:c>
      <x:c r="D1810" t="str">
        <x:v>i) 40 a 44 años</x:v>
      </x:c>
      <x:c r="E1810" s="1" t="n">
        <x:v>55</x:v>
      </x:c>
    </x:row>
    <x:row r="1811">
      <x:c r="A1811" t="str">
        <x:v>TLAHUAC</x:v>
      </x:c>
      <x:c r="B1811" t="str">
        <x:v>El Paraíso (Mecoxtla)</x:v>
      </x:c>
      <x:c r="C1811" t="str">
        <x:v>Hombre</x:v>
      </x:c>
      <x:c r="D1811" t="str">
        <x:v>j) 45 a 49 años</x:v>
      </x:c>
      <x:c r="E1811" s="1" t="n">
        <x:v>57</x:v>
      </x:c>
    </x:row>
    <x:row r="1812">
      <x:c r="A1812" t="str">
        <x:v>TLAHUAC</x:v>
      </x:c>
      <x:c r="B1812" t="str">
        <x:v>El Paraíso (Mecoxtla)</x:v>
      </x:c>
      <x:c r="C1812" t="str">
        <x:v>Hombre</x:v>
      </x:c>
      <x:c r="D1812" t="str">
        <x:v>k) 50 a 54 años</x:v>
      </x:c>
      <x:c r="E1812" s="1" t="n">
        <x:v>34</x:v>
      </x:c>
    </x:row>
    <x:row r="1813">
      <x:c r="A1813" t="str">
        <x:v>TLAHUAC</x:v>
      </x:c>
      <x:c r="B1813" t="str">
        <x:v>El Paraíso (Mecoxtla)</x:v>
      </x:c>
      <x:c r="C1813" t="str">
        <x:v>Hombre</x:v>
      </x:c>
      <x:c r="D1813" t="str">
        <x:v>l) 55 a 59 años</x:v>
      </x:c>
      <x:c r="E1813" s="1" t="n">
        <x:v>17</x:v>
      </x:c>
    </x:row>
    <x:row r="1814">
      <x:c r="A1814" t="str">
        <x:v>TLAHUAC</x:v>
      </x:c>
      <x:c r="B1814" t="str">
        <x:v>El Paraíso (Mecoxtla)</x:v>
      </x:c>
      <x:c r="C1814" t="str">
        <x:v>Hombre</x:v>
      </x:c>
      <x:c r="D1814" t="str">
        <x:v>m) 60 a 64 años</x:v>
      </x:c>
      <x:c r="E1814" s="1" t="n">
        <x:v>12</x:v>
      </x:c>
    </x:row>
    <x:row r="1815">
      <x:c r="A1815" t="str">
        <x:v>TLAHUAC</x:v>
      </x:c>
      <x:c r="B1815" t="str">
        <x:v>El Paraíso (Mecoxtla)</x:v>
      </x:c>
      <x:c r="C1815" t="str">
        <x:v>Hombre</x:v>
      </x:c>
      <x:c r="D1815" t="str">
        <x:v>n) 65 a 69 años</x:v>
      </x:c>
      <x:c r="E1815" s="1" t="n">
        <x:v>10</x:v>
      </x:c>
    </x:row>
    <x:row r="1816">
      <x:c r="A1816" t="str">
        <x:v>TLAHUAC</x:v>
      </x:c>
      <x:c r="B1816" t="str">
        <x:v>El Paraíso (Mecoxtla)</x:v>
      </x:c>
      <x:c r="C1816" t="str">
        <x:v>Hombre</x:v>
      </x:c>
      <x:c r="D1816" t="str">
        <x:v>o) 70 a 74 años</x:v>
      </x:c>
      <x:c r="E1816" s="1" t="n">
        <x:v>1</x:v>
      </x:c>
    </x:row>
    <x:row r="1817">
      <x:c r="A1817" t="str">
        <x:v>TLAHUAC</x:v>
      </x:c>
      <x:c r="B1817" t="str">
        <x:v>El Paraíso (Mecoxtla)</x:v>
      </x:c>
      <x:c r="C1817" t="str">
        <x:v>Hombre</x:v>
      </x:c>
      <x:c r="D1817" t="str">
        <x:v>p) 75 a 79 años</x:v>
      </x:c>
      <x:c r="E1817" s="1" t="n">
        <x:v>3</x:v>
      </x:c>
    </x:row>
    <x:row r="1818">
      <x:c r="A1818" t="str">
        <x:v>TLAHUAC</x:v>
      </x:c>
      <x:c r="B1818" t="str">
        <x:v>El Paraíso (Mecoxtla)</x:v>
      </x:c>
      <x:c r="C1818" t="str">
        <x:v>Hombre</x:v>
      </x:c>
      <x:c r="D1818" t="str">
        <x:v>q) 80 a 84 años</x:v>
      </x:c>
      <x:c r="E1818" s="1" t="n">
        <x:v>0</x:v>
      </x:c>
    </x:row>
    <x:row r="1819">
      <x:c r="A1819" t="str">
        <x:v>TLAHUAC</x:v>
      </x:c>
      <x:c r="B1819" t="str">
        <x:v>El Paraíso (Mecoxtla)</x:v>
      </x:c>
      <x:c r="C1819" t="str">
        <x:v>Hombre</x:v>
      </x:c>
      <x:c r="D1819" t="str">
        <x:v>r) 85 años y más</x:v>
      </x:c>
      <x:c r="E1819" s="1" t="n">
        <x:v>2</x:v>
      </x:c>
    </x:row>
    <x:row r="1820">
      <x:c r="A1820" t="str">
        <x:v>TLAHUAC</x:v>
      </x:c>
      <x:c r="B1820" t="str">
        <x:v>El Paraíso (Mecoxtla)</x:v>
      </x:c>
      <x:c r="C1820" t="str">
        <x:v>Mujer</x:v>
      </x:c>
      <x:c r="D1820" t="str">
        <x:v>a) 0 a 4 años</x:v>
      </x:c>
      <x:c r="E1820" s="1" t="n">
        <x:v>48</x:v>
      </x:c>
    </x:row>
    <x:row r="1821">
      <x:c r="A1821" t="str">
        <x:v>TLAHUAC</x:v>
      </x:c>
      <x:c r="B1821" t="str">
        <x:v>El Paraíso (Mecoxtla)</x:v>
      </x:c>
      <x:c r="C1821" t="str">
        <x:v>Mujer</x:v>
      </x:c>
      <x:c r="D1821" t="str">
        <x:v>b) 5 a 9 años</x:v>
      </x:c>
      <x:c r="E1821" s="1" t="n">
        <x:v>70</x:v>
      </x:c>
    </x:row>
    <x:row r="1822">
      <x:c r="A1822" t="str">
        <x:v>TLAHUAC</x:v>
      </x:c>
      <x:c r="B1822" t="str">
        <x:v>El Paraíso (Mecoxtla)</x:v>
      </x:c>
      <x:c r="C1822" t="str">
        <x:v>Mujer</x:v>
      </x:c>
      <x:c r="D1822" t="str">
        <x:v>c) 10 a 14 años</x:v>
      </x:c>
      <x:c r="E1822" s="1" t="n">
        <x:v>64</x:v>
      </x:c>
    </x:row>
    <x:row r="1823">
      <x:c r="A1823" t="str">
        <x:v>TLAHUAC</x:v>
      </x:c>
      <x:c r="B1823" t="str">
        <x:v>El Paraíso (Mecoxtla)</x:v>
      </x:c>
      <x:c r="C1823" t="str">
        <x:v>Mujer</x:v>
      </x:c>
      <x:c r="D1823" t="str">
        <x:v>d) 15 a 19 años</x:v>
      </x:c>
      <x:c r="E1823" s="1" t="n">
        <x:v>79</x:v>
      </x:c>
    </x:row>
    <x:row r="1824">
      <x:c r="A1824" t="str">
        <x:v>TLAHUAC</x:v>
      </x:c>
      <x:c r="B1824" t="str">
        <x:v>El Paraíso (Mecoxtla)</x:v>
      </x:c>
      <x:c r="C1824" t="str">
        <x:v>Mujer</x:v>
      </x:c>
      <x:c r="D1824" t="str">
        <x:v>e) 20 a 24 años</x:v>
      </x:c>
      <x:c r="E1824" s="1" t="n">
        <x:v>62</x:v>
      </x:c>
    </x:row>
    <x:row r="1825">
      <x:c r="A1825" t="str">
        <x:v>TLAHUAC</x:v>
      </x:c>
      <x:c r="B1825" t="str">
        <x:v>El Paraíso (Mecoxtla)</x:v>
      </x:c>
      <x:c r="C1825" t="str">
        <x:v>Mujer</x:v>
      </x:c>
      <x:c r="D1825" t="str">
        <x:v>f) 25 a 29 años</x:v>
      </x:c>
      <x:c r="E1825" s="1" t="n">
        <x:v>69</x:v>
      </x:c>
    </x:row>
    <x:row r="1826">
      <x:c r="A1826" t="str">
        <x:v>TLAHUAC</x:v>
      </x:c>
      <x:c r="B1826" t="str">
        <x:v>El Paraíso (Mecoxtla)</x:v>
      </x:c>
      <x:c r="C1826" t="str">
        <x:v>Mujer</x:v>
      </x:c>
      <x:c r="D1826" t="str">
        <x:v>g) 30 a 34 años</x:v>
      </x:c>
      <x:c r="E1826" s="1" t="n">
        <x:v>50</x:v>
      </x:c>
    </x:row>
    <x:row r="1827">
      <x:c r="A1827" t="str">
        <x:v>TLAHUAC</x:v>
      </x:c>
      <x:c r="B1827" t="str">
        <x:v>El Paraíso (Mecoxtla)</x:v>
      </x:c>
      <x:c r="C1827" t="str">
        <x:v>Mujer</x:v>
      </x:c>
      <x:c r="D1827" t="str">
        <x:v>h) 35 a 39 años</x:v>
      </x:c>
      <x:c r="E1827" s="1" t="n">
        <x:v>61</x:v>
      </x:c>
    </x:row>
    <x:row r="1828">
      <x:c r="A1828" t="str">
        <x:v>TLAHUAC</x:v>
      </x:c>
      <x:c r="B1828" t="str">
        <x:v>El Paraíso (Mecoxtla)</x:v>
      </x:c>
      <x:c r="C1828" t="str">
        <x:v>Mujer</x:v>
      </x:c>
      <x:c r="D1828" t="str">
        <x:v>i) 40 a 44 años</x:v>
      </x:c>
      <x:c r="E1828" s="1" t="n">
        <x:v>59</x:v>
      </x:c>
    </x:row>
    <x:row r="1829">
      <x:c r="A1829" t="str">
        <x:v>TLAHUAC</x:v>
      </x:c>
      <x:c r="B1829" t="str">
        <x:v>El Paraíso (Mecoxtla)</x:v>
      </x:c>
      <x:c r="C1829" t="str">
        <x:v>Mujer</x:v>
      </x:c>
      <x:c r="D1829" t="str">
        <x:v>j) 45 a 49 años</x:v>
      </x:c>
      <x:c r="E1829" s="1" t="n">
        <x:v>49</x:v>
      </x:c>
    </x:row>
    <x:row r="1830">
      <x:c r="A1830" t="str">
        <x:v>TLAHUAC</x:v>
      </x:c>
      <x:c r="B1830" t="str">
        <x:v>El Paraíso (Mecoxtla)</x:v>
      </x:c>
      <x:c r="C1830" t="str">
        <x:v>Mujer</x:v>
      </x:c>
      <x:c r="D1830" t="str">
        <x:v>k) 50 a 54 años</x:v>
      </x:c>
      <x:c r="E1830" s="1" t="n">
        <x:v>38</x:v>
      </x:c>
    </x:row>
    <x:row r="1831">
      <x:c r="A1831" t="str">
        <x:v>TLAHUAC</x:v>
      </x:c>
      <x:c r="B1831" t="str">
        <x:v>El Paraíso (Mecoxtla)</x:v>
      </x:c>
      <x:c r="C1831" t="str">
        <x:v>Mujer</x:v>
      </x:c>
      <x:c r="D1831" t="str">
        <x:v>l) 55 a 59 años</x:v>
      </x:c>
      <x:c r="E1831" s="1" t="n">
        <x:v>24</x:v>
      </x:c>
    </x:row>
    <x:row r="1832">
      <x:c r="A1832" t="str">
        <x:v>TLAHUAC</x:v>
      </x:c>
      <x:c r="B1832" t="str">
        <x:v>El Paraíso (Mecoxtla)</x:v>
      </x:c>
      <x:c r="C1832" t="str">
        <x:v>Mujer</x:v>
      </x:c>
      <x:c r="D1832" t="str">
        <x:v>m) 60 a 64 años</x:v>
      </x:c>
      <x:c r="E1832" s="1" t="n">
        <x:v>17</x:v>
      </x:c>
    </x:row>
    <x:row r="1833">
      <x:c r="A1833" t="str">
        <x:v>TLAHUAC</x:v>
      </x:c>
      <x:c r="B1833" t="str">
        <x:v>El Paraíso (Mecoxtla)</x:v>
      </x:c>
      <x:c r="C1833" t="str">
        <x:v>Mujer</x:v>
      </x:c>
      <x:c r="D1833" t="str">
        <x:v>n) 65 a 69 años</x:v>
      </x:c>
      <x:c r="E1833" s="1" t="n">
        <x:v>6</x:v>
      </x:c>
    </x:row>
    <x:row r="1834">
      <x:c r="A1834" t="str">
        <x:v>TLAHUAC</x:v>
      </x:c>
      <x:c r="B1834" t="str">
        <x:v>El Paraíso (Mecoxtla)</x:v>
      </x:c>
      <x:c r="C1834" t="str">
        <x:v>Mujer</x:v>
      </x:c>
      <x:c r="D1834" t="str">
        <x:v>o) 70 a 74 años</x:v>
      </x:c>
      <x:c r="E1834" s="1" t="n">
        <x:v>4</x:v>
      </x:c>
    </x:row>
    <x:row r="1835">
      <x:c r="A1835" t="str">
        <x:v>TLAHUAC</x:v>
      </x:c>
      <x:c r="B1835" t="str">
        <x:v>El Paraíso (Mecoxtla)</x:v>
      </x:c>
      <x:c r="C1835" t="str">
        <x:v>Mujer</x:v>
      </x:c>
      <x:c r="D1835" t="str">
        <x:v>p) 75 a 79 años</x:v>
      </x:c>
      <x:c r="E1835" s="1" t="n">
        <x:v>1</x:v>
      </x:c>
    </x:row>
    <x:row r="1836">
      <x:c r="A1836" t="str">
        <x:v>TLAHUAC</x:v>
      </x:c>
      <x:c r="B1836" t="str">
        <x:v>El Paraíso (Mecoxtla)</x:v>
      </x:c>
      <x:c r="C1836" t="str">
        <x:v>Mujer</x:v>
      </x:c>
      <x:c r="D1836" t="str">
        <x:v>q) 80 a 84 años</x:v>
      </x:c>
      <x:c r="E1836" s="1" t="n">
        <x:v>0</x:v>
      </x:c>
    </x:row>
    <x:row r="1837">
      <x:c r="A1837" t="str">
        <x:v>TLAHUAC</x:v>
      </x:c>
      <x:c r="B1837" t="str">
        <x:v>El Paraíso (Mecoxtla)</x:v>
      </x:c>
      <x:c r="C1837" t="str">
        <x:v>Mujer</x:v>
      </x:c>
      <x:c r="D1837" t="str">
        <x:v>r) 85 años y más</x:v>
      </x:c>
      <x:c r="E1837" s="1" t="n">
        <x:v>2</x:v>
      </x:c>
    </x:row>
    <x:row r="1838">
      <x:c r="A1838" t="str">
        <x:v>TLAHUAC</x:v>
      </x:c>
      <x:c r="B1838" t="str">
        <x:v>Colonia los 500 metros</x:v>
      </x:c>
      <x:c r="C1838" t="str">
        <x:v>Hombre</x:v>
      </x:c>
      <x:c r="D1838" t="str">
        <x:v>a) 0 a 4 años</x:v>
      </x:c>
      <x:c r="E1838" s="1" t="n">
        <x:v>12</x:v>
      </x:c>
    </x:row>
    <x:row r="1839">
      <x:c r="A1839" t="str">
        <x:v>TLAHUAC</x:v>
      </x:c>
      <x:c r="B1839" t="str">
        <x:v>Colonia los 500 metros</x:v>
      </x:c>
      <x:c r="C1839" t="str">
        <x:v>Hombre</x:v>
      </x:c>
      <x:c r="D1839" t="str">
        <x:v>b) 5 a 9 años</x:v>
      </x:c>
      <x:c r="E1839" s="1" t="n">
        <x:v>18</x:v>
      </x:c>
    </x:row>
    <x:row r="1840">
      <x:c r="A1840" t="str">
        <x:v>TLAHUAC</x:v>
      </x:c>
      <x:c r="B1840" t="str">
        <x:v>Colonia los 500 metros</x:v>
      </x:c>
      <x:c r="C1840" t="str">
        <x:v>Hombre</x:v>
      </x:c>
      <x:c r="D1840" t="str">
        <x:v>c) 10 a 14 años</x:v>
      </x:c>
      <x:c r="E1840" s="1" t="n">
        <x:v>21</x:v>
      </x:c>
    </x:row>
    <x:row r="1841">
      <x:c r="A1841" t="str">
        <x:v>TLAHUAC</x:v>
      </x:c>
      <x:c r="B1841" t="str">
        <x:v>Colonia los 500 metros</x:v>
      </x:c>
      <x:c r="C1841" t="str">
        <x:v>Hombre</x:v>
      </x:c>
      <x:c r="D1841" t="str">
        <x:v>d) 15 a 19 años</x:v>
      </x:c>
      <x:c r="E1841" s="1" t="n">
        <x:v>24</x:v>
      </x:c>
    </x:row>
    <x:row r="1842">
      <x:c r="A1842" t="str">
        <x:v>TLAHUAC</x:v>
      </x:c>
      <x:c r="B1842" t="str">
        <x:v>Colonia los 500 metros</x:v>
      </x:c>
      <x:c r="C1842" t="str">
        <x:v>Hombre</x:v>
      </x:c>
      <x:c r="D1842" t="str">
        <x:v>e) 20 a 24 años</x:v>
      </x:c>
      <x:c r="E1842" s="1" t="n">
        <x:v>25</x:v>
      </x:c>
    </x:row>
    <x:row r="1843">
      <x:c r="A1843" t="str">
        <x:v>TLAHUAC</x:v>
      </x:c>
      <x:c r="B1843" t="str">
        <x:v>Colonia los 500 metros</x:v>
      </x:c>
      <x:c r="C1843" t="str">
        <x:v>Hombre</x:v>
      </x:c>
      <x:c r="D1843" t="str">
        <x:v>f) 25 a 29 años</x:v>
      </x:c>
      <x:c r="E1843" s="1" t="n">
        <x:v>21</x:v>
      </x:c>
    </x:row>
    <x:row r="1844">
      <x:c r="A1844" t="str">
        <x:v>TLAHUAC</x:v>
      </x:c>
      <x:c r="B1844" t="str">
        <x:v>Colonia los 500 metros</x:v>
      </x:c>
      <x:c r="C1844" t="str">
        <x:v>Hombre</x:v>
      </x:c>
      <x:c r="D1844" t="str">
        <x:v>g) 30 a 34 años</x:v>
      </x:c>
      <x:c r="E1844" s="1" t="n">
        <x:v>14</x:v>
      </x:c>
    </x:row>
    <x:row r="1845">
      <x:c r="A1845" t="str">
        <x:v>TLAHUAC</x:v>
      </x:c>
      <x:c r="B1845" t="str">
        <x:v>Colonia los 500 metros</x:v>
      </x:c>
      <x:c r="C1845" t="str">
        <x:v>Hombre</x:v>
      </x:c>
      <x:c r="D1845" t="str">
        <x:v>h) 35 a 39 años</x:v>
      </x:c>
      <x:c r="E1845" s="1" t="n">
        <x:v>17</x:v>
      </x:c>
    </x:row>
    <x:row r="1846">
      <x:c r="A1846" t="str">
        <x:v>TLAHUAC</x:v>
      </x:c>
      <x:c r="B1846" t="str">
        <x:v>Colonia los 500 metros</x:v>
      </x:c>
      <x:c r="C1846" t="str">
        <x:v>Hombre</x:v>
      </x:c>
      <x:c r="D1846" t="str">
        <x:v>i) 40 a 44 años</x:v>
      </x:c>
      <x:c r="E1846" s="1" t="n">
        <x:v>18</x:v>
      </x:c>
    </x:row>
    <x:row r="1847">
      <x:c r="A1847" t="str">
        <x:v>TLAHUAC</x:v>
      </x:c>
      <x:c r="B1847" t="str">
        <x:v>Colonia los 500 metros</x:v>
      </x:c>
      <x:c r="C1847" t="str">
        <x:v>Hombre</x:v>
      </x:c>
      <x:c r="D1847" t="str">
        <x:v>j) 45 a 49 años</x:v>
      </x:c>
      <x:c r="E1847" s="1" t="n">
        <x:v>11</x:v>
      </x:c>
    </x:row>
    <x:row r="1848">
      <x:c r="A1848" t="str">
        <x:v>TLAHUAC</x:v>
      </x:c>
      <x:c r="B1848" t="str">
        <x:v>Colonia los 500 metros</x:v>
      </x:c>
      <x:c r="C1848" t="str">
        <x:v>Hombre</x:v>
      </x:c>
      <x:c r="D1848" t="str">
        <x:v>k) 50 a 54 años</x:v>
      </x:c>
      <x:c r="E1848" s="1" t="n">
        <x:v>15</x:v>
      </x:c>
    </x:row>
    <x:row r="1849">
      <x:c r="A1849" t="str">
        <x:v>TLAHUAC</x:v>
      </x:c>
      <x:c r="B1849" t="str">
        <x:v>Colonia los 500 metros</x:v>
      </x:c>
      <x:c r="C1849" t="str">
        <x:v>Hombre</x:v>
      </x:c>
      <x:c r="D1849" t="str">
        <x:v>l) 55 a 59 años</x:v>
      </x:c>
      <x:c r="E1849" s="1" t="n">
        <x:v>9</x:v>
      </x:c>
    </x:row>
    <x:row r="1850">
      <x:c r="A1850" t="str">
        <x:v>TLAHUAC</x:v>
      </x:c>
      <x:c r="B1850" t="str">
        <x:v>Colonia los 500 metros</x:v>
      </x:c>
      <x:c r="C1850" t="str">
        <x:v>Hombre</x:v>
      </x:c>
      <x:c r="D1850" t="str">
        <x:v>m) 60 a 64 años</x:v>
      </x:c>
      <x:c r="E1850" s="1" t="n">
        <x:v>5</x:v>
      </x:c>
    </x:row>
    <x:row r="1851">
      <x:c r="A1851" t="str">
        <x:v>TLAHUAC</x:v>
      </x:c>
      <x:c r="B1851" t="str">
        <x:v>Colonia los 500 metros</x:v>
      </x:c>
      <x:c r="C1851" t="str">
        <x:v>Hombre</x:v>
      </x:c>
      <x:c r="D1851" t="str">
        <x:v>n) 65 a 69 años</x:v>
      </x:c>
      <x:c r="E1851" s="1" t="n">
        <x:v>4</x:v>
      </x:c>
    </x:row>
    <x:row r="1852">
      <x:c r="A1852" t="str">
        <x:v>TLAHUAC</x:v>
      </x:c>
      <x:c r="B1852" t="str">
        <x:v>Colonia los 500 metros</x:v>
      </x:c>
      <x:c r="C1852" t="str">
        <x:v>Hombre</x:v>
      </x:c>
      <x:c r="D1852" t="str">
        <x:v>o) 70 a 74 años</x:v>
      </x:c>
      <x:c r="E1852" s="1" t="n">
        <x:v>4</x:v>
      </x:c>
    </x:row>
    <x:row r="1853">
      <x:c r="A1853" t="str">
        <x:v>TLAHUAC</x:v>
      </x:c>
      <x:c r="B1853" t="str">
        <x:v>Colonia los 500 metros</x:v>
      </x:c>
      <x:c r="C1853" t="str">
        <x:v>Hombre</x:v>
      </x:c>
      <x:c r="D1853" t="str">
        <x:v>p) 75 a 79 años</x:v>
      </x:c>
      <x:c r="E1853" s="1" t="n">
        <x:v>1</x:v>
      </x:c>
    </x:row>
    <x:row r="1854">
      <x:c r="A1854" t="str">
        <x:v>TLAHUAC</x:v>
      </x:c>
      <x:c r="B1854" t="str">
        <x:v>Colonia los 500 metros</x:v>
      </x:c>
      <x:c r="C1854" t="str">
        <x:v>Hombre</x:v>
      </x:c>
      <x:c r="D1854" t="str">
        <x:v>q) 80 a 84 años</x:v>
      </x:c>
      <x:c r="E1854" s="1" t="n">
        <x:v>0</x:v>
      </x:c>
    </x:row>
    <x:row r="1855">
      <x:c r="A1855" t="str">
        <x:v>TLAHUAC</x:v>
      </x:c>
      <x:c r="B1855" t="str">
        <x:v>Colonia los 500 metros</x:v>
      </x:c>
      <x:c r="C1855" t="str">
        <x:v>Hombre</x:v>
      </x:c>
      <x:c r="D1855" t="str">
        <x:v>r) 85 años y más</x:v>
      </x:c>
      <x:c r="E1855" s="1" t="n">
        <x:v>1</x:v>
      </x:c>
    </x:row>
    <x:row r="1856">
      <x:c r="A1856" t="str">
        <x:v>TLAHUAC</x:v>
      </x:c>
      <x:c r="B1856" t="str">
        <x:v>Colonia los 500 metros</x:v>
      </x:c>
      <x:c r="C1856" t="str">
        <x:v>Mujer</x:v>
      </x:c>
      <x:c r="D1856" t="str">
        <x:v>a) 0 a 4 años</x:v>
      </x:c>
      <x:c r="E1856" s="1" t="n">
        <x:v>9</x:v>
      </x:c>
    </x:row>
    <x:row r="1857">
      <x:c r="A1857" t="str">
        <x:v>TLAHUAC</x:v>
      </x:c>
      <x:c r="B1857" t="str">
        <x:v>Colonia los 500 metros</x:v>
      </x:c>
      <x:c r="C1857" t="str">
        <x:v>Mujer</x:v>
      </x:c>
      <x:c r="D1857" t="str">
        <x:v>b) 5 a 9 años</x:v>
      </x:c>
      <x:c r="E1857" s="1" t="n">
        <x:v>13</x:v>
      </x:c>
    </x:row>
    <x:row r="1858">
      <x:c r="A1858" t="str">
        <x:v>TLAHUAC</x:v>
      </x:c>
      <x:c r="B1858" t="str">
        <x:v>Colonia los 500 metros</x:v>
      </x:c>
      <x:c r="C1858" t="str">
        <x:v>Mujer</x:v>
      </x:c>
      <x:c r="D1858" t="str">
        <x:v>c) 10 a 14 años</x:v>
      </x:c>
      <x:c r="E1858" s="1" t="n">
        <x:v>22</x:v>
      </x:c>
    </x:row>
    <x:row r="1859">
      <x:c r="A1859" t="str">
        <x:v>TLAHUAC</x:v>
      </x:c>
      <x:c r="B1859" t="str">
        <x:v>Colonia los 500 metros</x:v>
      </x:c>
      <x:c r="C1859" t="str">
        <x:v>Mujer</x:v>
      </x:c>
      <x:c r="D1859" t="str">
        <x:v>d) 15 a 19 años</x:v>
      </x:c>
      <x:c r="E1859" s="1" t="n">
        <x:v>20</x:v>
      </x:c>
    </x:row>
    <x:row r="1860">
      <x:c r="A1860" t="str">
        <x:v>TLAHUAC</x:v>
      </x:c>
      <x:c r="B1860" t="str">
        <x:v>Colonia los 500 metros</x:v>
      </x:c>
      <x:c r="C1860" t="str">
        <x:v>Mujer</x:v>
      </x:c>
      <x:c r="D1860" t="str">
        <x:v>e) 20 a 24 años</x:v>
      </x:c>
      <x:c r="E1860" s="1" t="n">
        <x:v>12</x:v>
      </x:c>
    </x:row>
    <x:row r="1861">
      <x:c r="A1861" t="str">
        <x:v>TLAHUAC</x:v>
      </x:c>
      <x:c r="B1861" t="str">
        <x:v>Colonia los 500 metros</x:v>
      </x:c>
      <x:c r="C1861" t="str">
        <x:v>Mujer</x:v>
      </x:c>
      <x:c r="D1861" t="str">
        <x:v>f) 25 a 29 años</x:v>
      </x:c>
      <x:c r="E1861" s="1" t="n">
        <x:v>14</x:v>
      </x:c>
    </x:row>
    <x:row r="1862">
      <x:c r="A1862" t="str">
        <x:v>TLAHUAC</x:v>
      </x:c>
      <x:c r="B1862" t="str">
        <x:v>Colonia los 500 metros</x:v>
      </x:c>
      <x:c r="C1862" t="str">
        <x:v>Mujer</x:v>
      </x:c>
      <x:c r="D1862" t="str">
        <x:v>g) 30 a 34 años</x:v>
      </x:c>
      <x:c r="E1862" s="1" t="n">
        <x:v>17</x:v>
      </x:c>
    </x:row>
    <x:row r="1863">
      <x:c r="A1863" t="str">
        <x:v>TLAHUAC</x:v>
      </x:c>
      <x:c r="B1863" t="str">
        <x:v>Colonia los 500 metros</x:v>
      </x:c>
      <x:c r="C1863" t="str">
        <x:v>Mujer</x:v>
      </x:c>
      <x:c r="D1863" t="str">
        <x:v>h) 35 a 39 años</x:v>
      </x:c>
      <x:c r="E1863" s="1" t="n">
        <x:v>16</x:v>
      </x:c>
    </x:row>
    <x:row r="1864">
      <x:c r="A1864" t="str">
        <x:v>TLAHUAC</x:v>
      </x:c>
      <x:c r="B1864" t="str">
        <x:v>Colonia los 500 metros</x:v>
      </x:c>
      <x:c r="C1864" t="str">
        <x:v>Mujer</x:v>
      </x:c>
      <x:c r="D1864" t="str">
        <x:v>i) 40 a 44 años</x:v>
      </x:c>
      <x:c r="E1864" s="1" t="n">
        <x:v>11</x:v>
      </x:c>
    </x:row>
    <x:row r="1865">
      <x:c r="A1865" t="str">
        <x:v>TLAHUAC</x:v>
      </x:c>
      <x:c r="B1865" t="str">
        <x:v>Colonia los 500 metros</x:v>
      </x:c>
      <x:c r="C1865" t="str">
        <x:v>Mujer</x:v>
      </x:c>
      <x:c r="D1865" t="str">
        <x:v>j) 45 a 49 años</x:v>
      </x:c>
      <x:c r="E1865" s="1" t="n">
        <x:v>16</x:v>
      </x:c>
    </x:row>
    <x:row r="1866">
      <x:c r="A1866" t="str">
        <x:v>TLAHUAC</x:v>
      </x:c>
      <x:c r="B1866" t="str">
        <x:v>Colonia los 500 metros</x:v>
      </x:c>
      <x:c r="C1866" t="str">
        <x:v>Mujer</x:v>
      </x:c>
      <x:c r="D1866" t="str">
        <x:v>k) 50 a 54 años</x:v>
      </x:c>
      <x:c r="E1866" s="1" t="n">
        <x:v>8</x:v>
      </x:c>
    </x:row>
    <x:row r="1867">
      <x:c r="A1867" t="str">
        <x:v>TLAHUAC</x:v>
      </x:c>
      <x:c r="B1867" t="str">
        <x:v>Colonia los 500 metros</x:v>
      </x:c>
      <x:c r="C1867" t="str">
        <x:v>Mujer</x:v>
      </x:c>
      <x:c r="D1867" t="str">
        <x:v>l) 55 a 59 años</x:v>
      </x:c>
      <x:c r="E1867" s="1" t="n">
        <x:v>8</x:v>
      </x:c>
    </x:row>
    <x:row r="1868">
      <x:c r="A1868" t="str">
        <x:v>TLAHUAC</x:v>
      </x:c>
      <x:c r="B1868" t="str">
        <x:v>Colonia los 500 metros</x:v>
      </x:c>
      <x:c r="C1868" t="str">
        <x:v>Mujer</x:v>
      </x:c>
      <x:c r="D1868" t="str">
        <x:v>m) 60 a 64 años</x:v>
      </x:c>
      <x:c r="E1868" s="1" t="n">
        <x:v>7</x:v>
      </x:c>
    </x:row>
    <x:row r="1869">
      <x:c r="A1869" t="str">
        <x:v>TLAHUAC</x:v>
      </x:c>
      <x:c r="B1869" t="str">
        <x:v>Colonia los 500 metros</x:v>
      </x:c>
      <x:c r="C1869" t="str">
        <x:v>Mujer</x:v>
      </x:c>
      <x:c r="D1869" t="str">
        <x:v>n) 65 a 69 años</x:v>
      </x:c>
      <x:c r="E1869" s="1" t="n">
        <x:v>6</x:v>
      </x:c>
    </x:row>
    <x:row r="1870">
      <x:c r="A1870" t="str">
        <x:v>TLAHUAC</x:v>
      </x:c>
      <x:c r="B1870" t="str">
        <x:v>Colonia los 500 metros</x:v>
      </x:c>
      <x:c r="C1870" t="str">
        <x:v>Mujer</x:v>
      </x:c>
      <x:c r="D1870" t="str">
        <x:v>o) 70 a 74 años</x:v>
      </x:c>
      <x:c r="E1870" s="1" t="n">
        <x:v>3</x:v>
      </x:c>
    </x:row>
    <x:row r="1871">
      <x:c r="A1871" t="str">
        <x:v>TLAHUAC</x:v>
      </x:c>
      <x:c r="B1871" t="str">
        <x:v>Colonia los 500 metros</x:v>
      </x:c>
      <x:c r="C1871" t="str">
        <x:v>Mujer</x:v>
      </x:c>
      <x:c r="D1871" t="str">
        <x:v>p) 75 a 79 años</x:v>
      </x:c>
      <x:c r="E1871" s="1" t="n">
        <x:v>1</x:v>
      </x:c>
    </x:row>
    <x:row r="1872">
      <x:c r="A1872" t="str">
        <x:v>TLAHUAC</x:v>
      </x:c>
      <x:c r="B1872" t="str">
        <x:v>Colonia los 500 metros</x:v>
      </x:c>
      <x:c r="C1872" t="str">
        <x:v>Mujer</x:v>
      </x:c>
      <x:c r="D1872" t="str">
        <x:v>q) 80 a 84 años</x:v>
      </x:c>
      <x:c r="E1872" s="1" t="n">
        <x:v>0</x:v>
      </x:c>
    </x:row>
    <x:row r="1873">
      <x:c r="A1873" t="str">
        <x:v>TLAHUAC</x:v>
      </x:c>
      <x:c r="B1873" t="str">
        <x:v>Colonia los 500 metros</x:v>
      </x:c>
      <x:c r="C1873" t="str">
        <x:v>Mujer</x:v>
      </x:c>
      <x:c r="D1873" t="str">
        <x:v>r) 85 años y más</x:v>
      </x:c>
      <x:c r="E1873" s="1" t="n">
        <x:v>2</x:v>
      </x:c>
    </x:row>
    <x:row r="1874">
      <x:c r="A1874" t="str">
        <x:v>TLAHUAC</x:v>
      </x:c>
      <x:c r="B1874" t="str">
        <x:v>Ampliación San Miguel</x:v>
      </x:c>
      <x:c r="C1874" t="str">
        <x:v>Hombre</x:v>
      </x:c>
      <x:c r="D1874" t="str">
        <x:v>a) 0 a 4 años</x:v>
      </x:c>
      <x:c r="E1874" s="1" t="n">
        <x:v>13</x:v>
      </x:c>
    </x:row>
    <x:row r="1875">
      <x:c r="A1875" t="str">
        <x:v>TLAHUAC</x:v>
      </x:c>
      <x:c r="B1875" t="str">
        <x:v>Ampliación San Miguel</x:v>
      </x:c>
      <x:c r="C1875" t="str">
        <x:v>Hombre</x:v>
      </x:c>
      <x:c r="D1875" t="str">
        <x:v>b) 5 a 9 años</x:v>
      </x:c>
      <x:c r="E1875" s="1" t="n">
        <x:v>20</x:v>
      </x:c>
    </x:row>
    <x:row r="1876">
      <x:c r="A1876" t="str">
        <x:v>TLAHUAC</x:v>
      </x:c>
      <x:c r="B1876" t="str">
        <x:v>Ampliación San Miguel</x:v>
      </x:c>
      <x:c r="C1876" t="str">
        <x:v>Hombre</x:v>
      </x:c>
      <x:c r="D1876" t="str">
        <x:v>c) 10 a 14 años</x:v>
      </x:c>
      <x:c r="E1876" s="1" t="n">
        <x:v>10</x:v>
      </x:c>
    </x:row>
    <x:row r="1877">
      <x:c r="A1877" t="str">
        <x:v>TLAHUAC</x:v>
      </x:c>
      <x:c r="B1877" t="str">
        <x:v>Ampliación San Miguel</x:v>
      </x:c>
      <x:c r="C1877" t="str">
        <x:v>Hombre</x:v>
      </x:c>
      <x:c r="D1877" t="str">
        <x:v>d) 15 a 19 años</x:v>
      </x:c>
      <x:c r="E1877" s="1" t="n">
        <x:v>11</x:v>
      </x:c>
    </x:row>
    <x:row r="1878">
      <x:c r="A1878" t="str">
        <x:v>TLAHUAC</x:v>
      </x:c>
      <x:c r="B1878" t="str">
        <x:v>Ampliación San Miguel</x:v>
      </x:c>
      <x:c r="C1878" t="str">
        <x:v>Hombre</x:v>
      </x:c>
      <x:c r="D1878" t="str">
        <x:v>e) 20 a 24 años</x:v>
      </x:c>
      <x:c r="E1878" s="1" t="n">
        <x:v>15</x:v>
      </x:c>
    </x:row>
    <x:row r="1879">
      <x:c r="A1879" t="str">
        <x:v>TLAHUAC</x:v>
      </x:c>
      <x:c r="B1879" t="str">
        <x:v>Ampliación San Miguel</x:v>
      </x:c>
      <x:c r="C1879" t="str">
        <x:v>Hombre</x:v>
      </x:c>
      <x:c r="D1879" t="str">
        <x:v>f) 25 a 29 años</x:v>
      </x:c>
      <x:c r="E1879" s="1" t="n">
        <x:v>13</x:v>
      </x:c>
    </x:row>
    <x:row r="1880">
      <x:c r="A1880" t="str">
        <x:v>TLAHUAC</x:v>
      </x:c>
      <x:c r="B1880" t="str">
        <x:v>Ampliación San Miguel</x:v>
      </x:c>
      <x:c r="C1880" t="str">
        <x:v>Hombre</x:v>
      </x:c>
      <x:c r="D1880" t="str">
        <x:v>g) 30 a 34 años</x:v>
      </x:c>
      <x:c r="E1880" s="1" t="n">
        <x:v>9</x:v>
      </x:c>
    </x:row>
    <x:row r="1881">
      <x:c r="A1881" t="str">
        <x:v>TLAHUAC</x:v>
      </x:c>
      <x:c r="B1881" t="str">
        <x:v>Ampliación San Miguel</x:v>
      </x:c>
      <x:c r="C1881" t="str">
        <x:v>Hombre</x:v>
      </x:c>
      <x:c r="D1881" t="str">
        <x:v>h) 35 a 39 años</x:v>
      </x:c>
      <x:c r="E1881" s="1" t="n">
        <x:v>11</x:v>
      </x:c>
    </x:row>
    <x:row r="1882">
      <x:c r="A1882" t="str">
        <x:v>TLAHUAC</x:v>
      </x:c>
      <x:c r="B1882" t="str">
        <x:v>Ampliación San Miguel</x:v>
      </x:c>
      <x:c r="C1882" t="str">
        <x:v>Hombre</x:v>
      </x:c>
      <x:c r="D1882" t="str">
        <x:v>i) 40 a 44 años</x:v>
      </x:c>
      <x:c r="E1882" s="1" t="n">
        <x:v>12</x:v>
      </x:c>
    </x:row>
    <x:row r="1883">
      <x:c r="A1883" t="str">
        <x:v>TLAHUAC</x:v>
      </x:c>
      <x:c r="B1883" t="str">
        <x:v>Ampliación San Miguel</x:v>
      </x:c>
      <x:c r="C1883" t="str">
        <x:v>Hombre</x:v>
      </x:c>
      <x:c r="D1883" t="str">
        <x:v>j) 45 a 49 años</x:v>
      </x:c>
      <x:c r="E1883" s="1" t="n">
        <x:v>12</x:v>
      </x:c>
    </x:row>
    <x:row r="1884">
      <x:c r="A1884" t="str">
        <x:v>TLAHUAC</x:v>
      </x:c>
      <x:c r="B1884" t="str">
        <x:v>Ampliación San Miguel</x:v>
      </x:c>
      <x:c r="C1884" t="str">
        <x:v>Hombre</x:v>
      </x:c>
      <x:c r="D1884" t="str">
        <x:v>k) 50 a 54 años</x:v>
      </x:c>
      <x:c r="E1884" s="1" t="n">
        <x:v>3</x:v>
      </x:c>
    </x:row>
    <x:row r="1885">
      <x:c r="A1885" t="str">
        <x:v>TLAHUAC</x:v>
      </x:c>
      <x:c r="B1885" t="str">
        <x:v>Ampliación San Miguel</x:v>
      </x:c>
      <x:c r="C1885" t="str">
        <x:v>Hombre</x:v>
      </x:c>
      <x:c r="D1885" t="str">
        <x:v>l) 55 a 59 años</x:v>
      </x:c>
      <x:c r="E1885" s="1" t="n">
        <x:v>3</x:v>
      </x:c>
    </x:row>
    <x:row r="1886">
      <x:c r="A1886" t="str">
        <x:v>TLAHUAC</x:v>
      </x:c>
      <x:c r="B1886" t="str">
        <x:v>Ampliación San Miguel</x:v>
      </x:c>
      <x:c r="C1886" t="str">
        <x:v>Hombre</x:v>
      </x:c>
      <x:c r="D1886" t="str">
        <x:v>m) 60 a 64 años</x:v>
      </x:c>
      <x:c r="E1886" s="1" t="n">
        <x:v>2</x:v>
      </x:c>
    </x:row>
    <x:row r="1887">
      <x:c r="A1887" t="str">
        <x:v>TLAHUAC</x:v>
      </x:c>
      <x:c r="B1887" t="str">
        <x:v>Ampliación San Miguel</x:v>
      </x:c>
      <x:c r="C1887" t="str">
        <x:v>Hombre</x:v>
      </x:c>
      <x:c r="D1887" t="str">
        <x:v>n) 65 a 69 años</x:v>
      </x:c>
      <x:c r="E1887" s="1" t="n">
        <x:v>1</x:v>
      </x:c>
    </x:row>
    <x:row r="1888">
      <x:c r="A1888" t="str">
        <x:v>TLAHUAC</x:v>
      </x:c>
      <x:c r="B1888" t="str">
        <x:v>Ampliación San Miguel</x:v>
      </x:c>
      <x:c r="C1888" t="str">
        <x:v>Hombre</x:v>
      </x:c>
      <x:c r="D1888" t="str">
        <x:v>o) 70 a 74 años</x:v>
      </x:c>
      <x:c r="E1888" s="1" t="n">
        <x:v>1</x:v>
      </x:c>
    </x:row>
    <x:row r="1889">
      <x:c r="A1889" t="str">
        <x:v>TLAHUAC</x:v>
      </x:c>
      <x:c r="B1889" t="str">
        <x:v>Ampliación San Miguel</x:v>
      </x:c>
      <x:c r="C1889" t="str">
        <x:v>Hombre</x:v>
      </x:c>
      <x:c r="D1889" t="str">
        <x:v>p) 75 a 79 años</x:v>
      </x:c>
      <x:c r="E1889" s="1" t="n">
        <x:v>3</x:v>
      </x:c>
    </x:row>
    <x:row r="1890">
      <x:c r="A1890" t="str">
        <x:v>TLAHUAC</x:v>
      </x:c>
      <x:c r="B1890" t="str">
        <x:v>Ampliación San Miguel</x:v>
      </x:c>
      <x:c r="C1890" t="str">
        <x:v>Hombre</x:v>
      </x:c>
      <x:c r="D1890" t="str">
        <x:v>q) 80 a 84 años</x:v>
      </x:c>
      <x:c r="E1890" s="1" t="n">
        <x:v>2</x:v>
      </x:c>
    </x:row>
    <x:row r="1891">
      <x:c r="A1891" t="str">
        <x:v>TLAHUAC</x:v>
      </x:c>
      <x:c r="B1891" t="str">
        <x:v>Ampliación San Miguel</x:v>
      </x:c>
      <x:c r="C1891" t="str">
        <x:v>Hombre</x:v>
      </x:c>
      <x:c r="D1891" t="str">
        <x:v>r) 85 años y más</x:v>
      </x:c>
      <x:c r="E1891" s="1" t="n">
        <x:v>1</x:v>
      </x:c>
    </x:row>
    <x:row r="1892">
      <x:c r="A1892" t="str">
        <x:v>TLAHUAC</x:v>
      </x:c>
      <x:c r="B1892" t="str">
        <x:v>Ampliación San Miguel</x:v>
      </x:c>
      <x:c r="C1892" t="str">
        <x:v>Mujer</x:v>
      </x:c>
      <x:c r="D1892" t="str">
        <x:v>a) 0 a 4 años</x:v>
      </x:c>
      <x:c r="E1892" s="1" t="n">
        <x:v>13</x:v>
      </x:c>
    </x:row>
    <x:row r="1893">
      <x:c r="A1893" t="str">
        <x:v>TLAHUAC</x:v>
      </x:c>
      <x:c r="B1893" t="str">
        <x:v>Ampliación San Miguel</x:v>
      </x:c>
      <x:c r="C1893" t="str">
        <x:v>Mujer</x:v>
      </x:c>
      <x:c r="D1893" t="str">
        <x:v>b) 5 a 9 años</x:v>
      </x:c>
      <x:c r="E1893" s="1" t="n">
        <x:v>8</x:v>
      </x:c>
    </x:row>
    <x:row r="1894">
      <x:c r="A1894" t="str">
        <x:v>TLAHUAC</x:v>
      </x:c>
      <x:c r="B1894" t="str">
        <x:v>Ampliación San Miguel</x:v>
      </x:c>
      <x:c r="C1894" t="str">
        <x:v>Mujer</x:v>
      </x:c>
      <x:c r="D1894" t="str">
        <x:v>c) 10 a 14 años</x:v>
      </x:c>
      <x:c r="E1894" s="1" t="n">
        <x:v>15</x:v>
      </x:c>
    </x:row>
    <x:row r="1895">
      <x:c r="A1895" t="str">
        <x:v>TLAHUAC</x:v>
      </x:c>
      <x:c r="B1895" t="str">
        <x:v>Ampliación San Miguel</x:v>
      </x:c>
      <x:c r="C1895" t="str">
        <x:v>Mujer</x:v>
      </x:c>
      <x:c r="D1895" t="str">
        <x:v>d) 15 a 19 años</x:v>
      </x:c>
      <x:c r="E1895" s="1" t="n">
        <x:v>12</x:v>
      </x:c>
    </x:row>
    <x:row r="1896">
      <x:c r="A1896" t="str">
        <x:v>TLAHUAC</x:v>
      </x:c>
      <x:c r="B1896" t="str">
        <x:v>Ampliación San Miguel</x:v>
      </x:c>
      <x:c r="C1896" t="str">
        <x:v>Mujer</x:v>
      </x:c>
      <x:c r="D1896" t="str">
        <x:v>e) 20 a 24 años</x:v>
      </x:c>
      <x:c r="E1896" s="1" t="n">
        <x:v>14</x:v>
      </x:c>
    </x:row>
    <x:row r="1897">
      <x:c r="A1897" t="str">
        <x:v>TLAHUAC</x:v>
      </x:c>
      <x:c r="B1897" t="str">
        <x:v>Ampliación San Miguel</x:v>
      </x:c>
      <x:c r="C1897" t="str">
        <x:v>Mujer</x:v>
      </x:c>
      <x:c r="D1897" t="str">
        <x:v>f) 25 a 29 años</x:v>
      </x:c>
      <x:c r="E1897" s="1" t="n">
        <x:v>12</x:v>
      </x:c>
    </x:row>
    <x:row r="1898">
      <x:c r="A1898" t="str">
        <x:v>TLAHUAC</x:v>
      </x:c>
      <x:c r="B1898" t="str">
        <x:v>Ampliación San Miguel</x:v>
      </x:c>
      <x:c r="C1898" t="str">
        <x:v>Mujer</x:v>
      </x:c>
      <x:c r="D1898" t="str">
        <x:v>g) 30 a 34 años</x:v>
      </x:c>
      <x:c r="E1898" s="1" t="n">
        <x:v>6</x:v>
      </x:c>
    </x:row>
    <x:row r="1899">
      <x:c r="A1899" t="str">
        <x:v>TLAHUAC</x:v>
      </x:c>
      <x:c r="B1899" t="str">
        <x:v>Ampliación San Miguel</x:v>
      </x:c>
      <x:c r="C1899" t="str">
        <x:v>Mujer</x:v>
      </x:c>
      <x:c r="D1899" t="str">
        <x:v>h) 35 a 39 años</x:v>
      </x:c>
      <x:c r="E1899" s="1" t="n">
        <x:v>18</x:v>
      </x:c>
    </x:row>
    <x:row r="1900">
      <x:c r="A1900" t="str">
        <x:v>TLAHUAC</x:v>
      </x:c>
      <x:c r="B1900" t="str">
        <x:v>Ampliación San Miguel</x:v>
      </x:c>
      <x:c r="C1900" t="str">
        <x:v>Mujer</x:v>
      </x:c>
      <x:c r="D1900" t="str">
        <x:v>i) 40 a 44 años</x:v>
      </x:c>
      <x:c r="E1900" s="1" t="n">
        <x:v>9</x:v>
      </x:c>
    </x:row>
    <x:row r="1901">
      <x:c r="A1901" t="str">
        <x:v>TLAHUAC</x:v>
      </x:c>
      <x:c r="B1901" t="str">
        <x:v>Ampliación San Miguel</x:v>
      </x:c>
      <x:c r="C1901" t="str">
        <x:v>Mujer</x:v>
      </x:c>
      <x:c r="D1901" t="str">
        <x:v>j) 45 a 49 años</x:v>
      </x:c>
      <x:c r="E1901" s="1" t="n">
        <x:v>14</x:v>
      </x:c>
    </x:row>
    <x:row r="1902">
      <x:c r="A1902" t="str">
        <x:v>TLAHUAC</x:v>
      </x:c>
      <x:c r="B1902" t="str">
        <x:v>Ampliación San Miguel</x:v>
      </x:c>
      <x:c r="C1902" t="str">
        <x:v>Mujer</x:v>
      </x:c>
      <x:c r="D1902" t="str">
        <x:v>k) 50 a 54 años</x:v>
      </x:c>
      <x:c r="E1902" s="1" t="n">
        <x:v>2</x:v>
      </x:c>
    </x:row>
    <x:row r="1903">
      <x:c r="A1903" t="str">
        <x:v>TLAHUAC</x:v>
      </x:c>
      <x:c r="B1903" t="str">
        <x:v>Ampliación San Miguel</x:v>
      </x:c>
      <x:c r="C1903" t="str">
        <x:v>Mujer</x:v>
      </x:c>
      <x:c r="D1903" t="str">
        <x:v>l) 55 a 59 años</x:v>
      </x:c>
      <x:c r="E1903" s="1" t="n">
        <x:v>4</x:v>
      </x:c>
    </x:row>
    <x:row r="1904">
      <x:c r="A1904" t="str">
        <x:v>TLAHUAC</x:v>
      </x:c>
      <x:c r="B1904" t="str">
        <x:v>Ampliación San Miguel</x:v>
      </x:c>
      <x:c r="C1904" t="str">
        <x:v>Mujer</x:v>
      </x:c>
      <x:c r="D1904" t="str">
        <x:v>m) 60 a 64 años</x:v>
      </x:c>
      <x:c r="E1904" s="1" t="n">
        <x:v>4</x:v>
      </x:c>
    </x:row>
    <x:row r="1905">
      <x:c r="A1905" t="str">
        <x:v>TLAHUAC</x:v>
      </x:c>
      <x:c r="B1905" t="str">
        <x:v>Ampliación San Miguel</x:v>
      </x:c>
      <x:c r="C1905" t="str">
        <x:v>Mujer</x:v>
      </x:c>
      <x:c r="D1905" t="str">
        <x:v>n) 65 a 69 años</x:v>
      </x:c>
      <x:c r="E1905" s="1" t="n">
        <x:v>0</x:v>
      </x:c>
    </x:row>
    <x:row r="1906">
      <x:c r="A1906" t="str">
        <x:v>TLAHUAC</x:v>
      </x:c>
      <x:c r="B1906" t="str">
        <x:v>Ampliación San Miguel</x:v>
      </x:c>
      <x:c r="C1906" t="str">
        <x:v>Mujer</x:v>
      </x:c>
      <x:c r="D1906" t="str">
        <x:v>o) 70 a 74 años</x:v>
      </x:c>
      <x:c r="E1906" s="1" t="n">
        <x:v>0</x:v>
      </x:c>
    </x:row>
    <x:row r="1907">
      <x:c r="A1907" t="str">
        <x:v>TLAHUAC</x:v>
      </x:c>
      <x:c r="B1907" t="str">
        <x:v>Ampliación San Miguel</x:v>
      </x:c>
      <x:c r="C1907" t="str">
        <x:v>Mujer</x:v>
      </x:c>
      <x:c r="D1907" t="str">
        <x:v>p) 75 a 79 años</x:v>
      </x:c>
      <x:c r="E1907" s="1" t="n">
        <x:v>1</x:v>
      </x:c>
    </x:row>
    <x:row r="1908">
      <x:c r="A1908" t="str">
        <x:v>TLAHUAC</x:v>
      </x:c>
      <x:c r="B1908" t="str">
        <x:v>Ampliación San Miguel</x:v>
      </x:c>
      <x:c r="C1908" t="str">
        <x:v>Mujer</x:v>
      </x:c>
      <x:c r="D1908" t="str">
        <x:v>q) 80 a 84 años</x:v>
      </x:c>
      <x:c r="E1908" s="1" t="n">
        <x:v>2</x:v>
      </x:c>
    </x:row>
    <x:row r="1909">
      <x:c r="A1909" t="str">
        <x:v>TLAHUAC</x:v>
      </x:c>
      <x:c r="B1909" t="str">
        <x:v>Ampliación San Miguel</x:v>
      </x:c>
      <x:c r="C1909" t="str">
        <x:v>Mujer</x:v>
      </x:c>
      <x:c r="D1909" t="str">
        <x:v>r) 85 años y más</x:v>
      </x:c>
      <x:c r="E1909" s="1" t="n">
        <x:v>0</x:v>
      </x:c>
    </x:row>
    <x:row r="1910">
      <x:c r="A1910" t="str">
        <x:v>TLAHUAC</x:v>
      </x:c>
      <x:c r="B1910" t="str">
        <x:v>Puertantitla (Camino al Cerro)</x:v>
      </x:c>
      <x:c r="C1910" t="str">
        <x:v>Hombre</x:v>
      </x:c>
      <x:c r="D1910" t="str">
        <x:v>a) 0 a 4 años</x:v>
      </x:c>
      <x:c r="E1910" s="1" t="n">
        <x:v>10</x:v>
      </x:c>
    </x:row>
    <x:row r="1911">
      <x:c r="A1911" t="str">
        <x:v>TLAHUAC</x:v>
      </x:c>
      <x:c r="B1911" t="str">
        <x:v>Puertantitla (Camino al Cerro)</x:v>
      </x:c>
      <x:c r="C1911" t="str">
        <x:v>Hombre</x:v>
      </x:c>
      <x:c r="D1911" t="str">
        <x:v>b) 5 a 9 años</x:v>
      </x:c>
      <x:c r="E1911" s="1" t="n">
        <x:v>14</x:v>
      </x:c>
    </x:row>
    <x:row r="1912">
      <x:c r="A1912" t="str">
        <x:v>TLAHUAC</x:v>
      </x:c>
      <x:c r="B1912" t="str">
        <x:v>Puertantitla (Camino al Cerro)</x:v>
      </x:c>
      <x:c r="C1912" t="str">
        <x:v>Hombre</x:v>
      </x:c>
      <x:c r="D1912" t="str">
        <x:v>c) 10 a 14 años</x:v>
      </x:c>
      <x:c r="E1912" s="1" t="n">
        <x:v>10</x:v>
      </x:c>
    </x:row>
    <x:row r="1913">
      <x:c r="A1913" t="str">
        <x:v>TLAHUAC</x:v>
      </x:c>
      <x:c r="B1913" t="str">
        <x:v>Puertantitla (Camino al Cerro)</x:v>
      </x:c>
      <x:c r="C1913" t="str">
        <x:v>Hombre</x:v>
      </x:c>
      <x:c r="D1913" t="str">
        <x:v>d) 15 a 19 años</x:v>
      </x:c>
      <x:c r="E1913" s="1" t="n">
        <x:v>13</x:v>
      </x:c>
    </x:row>
    <x:row r="1914">
      <x:c r="A1914" t="str">
        <x:v>TLAHUAC</x:v>
      </x:c>
      <x:c r="B1914" t="str">
        <x:v>Puertantitla (Camino al Cerro)</x:v>
      </x:c>
      <x:c r="C1914" t="str">
        <x:v>Hombre</x:v>
      </x:c>
      <x:c r="D1914" t="str">
        <x:v>e) 20 a 24 años</x:v>
      </x:c>
      <x:c r="E1914" s="1" t="n">
        <x:v>15</x:v>
      </x:c>
    </x:row>
    <x:row r="1915">
      <x:c r="A1915" t="str">
        <x:v>TLAHUAC</x:v>
      </x:c>
      <x:c r="B1915" t="str">
        <x:v>Puertantitla (Camino al Cerro)</x:v>
      </x:c>
      <x:c r="C1915" t="str">
        <x:v>Hombre</x:v>
      </x:c>
      <x:c r="D1915" t="str">
        <x:v>f) 25 a 29 años</x:v>
      </x:c>
      <x:c r="E1915" s="1" t="n">
        <x:v>13</x:v>
      </x:c>
    </x:row>
    <x:row r="1916">
      <x:c r="A1916" t="str">
        <x:v>TLAHUAC</x:v>
      </x:c>
      <x:c r="B1916" t="str">
        <x:v>Puertantitla (Camino al Cerro)</x:v>
      </x:c>
      <x:c r="C1916" t="str">
        <x:v>Hombre</x:v>
      </x:c>
      <x:c r="D1916" t="str">
        <x:v>g) 30 a 34 años</x:v>
      </x:c>
      <x:c r="E1916" s="1" t="n">
        <x:v>17</x:v>
      </x:c>
    </x:row>
    <x:row r="1917">
      <x:c r="A1917" t="str">
        <x:v>TLAHUAC</x:v>
      </x:c>
      <x:c r="B1917" t="str">
        <x:v>Puertantitla (Camino al Cerro)</x:v>
      </x:c>
      <x:c r="C1917" t="str">
        <x:v>Hombre</x:v>
      </x:c>
      <x:c r="D1917" t="str">
        <x:v>h) 35 a 39 años</x:v>
      </x:c>
      <x:c r="E1917" s="1" t="n">
        <x:v>5</x:v>
      </x:c>
    </x:row>
    <x:row r="1918">
      <x:c r="A1918" t="str">
        <x:v>TLAHUAC</x:v>
      </x:c>
      <x:c r="B1918" t="str">
        <x:v>Puertantitla (Camino al Cerro)</x:v>
      </x:c>
      <x:c r="C1918" t="str">
        <x:v>Hombre</x:v>
      </x:c>
      <x:c r="D1918" t="str">
        <x:v>i) 40 a 44 años</x:v>
      </x:c>
      <x:c r="E1918" s="1" t="n">
        <x:v>9</x:v>
      </x:c>
    </x:row>
    <x:row r="1919">
      <x:c r="A1919" t="str">
        <x:v>TLAHUAC</x:v>
      </x:c>
      <x:c r="B1919" t="str">
        <x:v>Puertantitla (Camino al Cerro)</x:v>
      </x:c>
      <x:c r="C1919" t="str">
        <x:v>Hombre</x:v>
      </x:c>
      <x:c r="D1919" t="str">
        <x:v>j) 45 a 49 años</x:v>
      </x:c>
      <x:c r="E1919" s="1" t="n">
        <x:v>7</x:v>
      </x:c>
    </x:row>
    <x:row r="1920">
      <x:c r="A1920" t="str">
        <x:v>TLAHUAC</x:v>
      </x:c>
      <x:c r="B1920" t="str">
        <x:v>Puertantitla (Camino al Cerro)</x:v>
      </x:c>
      <x:c r="C1920" t="str">
        <x:v>Hombre</x:v>
      </x:c>
      <x:c r="D1920" t="str">
        <x:v>k) 50 a 54 años</x:v>
      </x:c>
      <x:c r="E1920" s="1" t="n">
        <x:v>9</x:v>
      </x:c>
    </x:row>
    <x:row r="1921">
      <x:c r="A1921" t="str">
        <x:v>TLAHUAC</x:v>
      </x:c>
      <x:c r="B1921" t="str">
        <x:v>Puertantitla (Camino al Cerro)</x:v>
      </x:c>
      <x:c r="C1921" t="str">
        <x:v>Hombre</x:v>
      </x:c>
      <x:c r="D1921" t="str">
        <x:v>l) 55 a 59 años</x:v>
      </x:c>
      <x:c r="E1921" s="1" t="n">
        <x:v>6</x:v>
      </x:c>
    </x:row>
    <x:row r="1922">
      <x:c r="A1922" t="str">
        <x:v>TLAHUAC</x:v>
      </x:c>
      <x:c r="B1922" t="str">
        <x:v>Puertantitla (Camino al Cerro)</x:v>
      </x:c>
      <x:c r="C1922" t="str">
        <x:v>Hombre</x:v>
      </x:c>
      <x:c r="D1922" t="str">
        <x:v>m) 60 a 64 años</x:v>
      </x:c>
      <x:c r="E1922" s="1" t="n">
        <x:v>4</x:v>
      </x:c>
    </x:row>
    <x:row r="1923">
      <x:c r="A1923" t="str">
        <x:v>TLAHUAC</x:v>
      </x:c>
      <x:c r="B1923" t="str">
        <x:v>Puertantitla (Camino al Cerro)</x:v>
      </x:c>
      <x:c r="C1923" t="str">
        <x:v>Hombre</x:v>
      </x:c>
      <x:c r="D1923" t="str">
        <x:v>n) 65 a 69 años</x:v>
      </x:c>
      <x:c r="E1923" s="1" t="n">
        <x:v>2</x:v>
      </x:c>
    </x:row>
    <x:row r="1924">
      <x:c r="A1924" t="str">
        <x:v>TLAHUAC</x:v>
      </x:c>
      <x:c r="B1924" t="str">
        <x:v>Puertantitla (Camino al Cerro)</x:v>
      </x:c>
      <x:c r="C1924" t="str">
        <x:v>Hombre</x:v>
      </x:c>
      <x:c r="D1924" t="str">
        <x:v>o) 70 a 74 años</x:v>
      </x:c>
      <x:c r="E1924" s="1" t="n">
        <x:v>4</x:v>
      </x:c>
    </x:row>
    <x:row r="1925">
      <x:c r="A1925" t="str">
        <x:v>TLAHUAC</x:v>
      </x:c>
      <x:c r="B1925" t="str">
        <x:v>Puertantitla (Camino al Cerro)</x:v>
      </x:c>
      <x:c r="C1925" t="str">
        <x:v>Hombre</x:v>
      </x:c>
      <x:c r="D1925" t="str">
        <x:v>p) 75 a 79 años</x:v>
      </x:c>
      <x:c r="E1925" s="1" t="n">
        <x:v>0</x:v>
      </x:c>
    </x:row>
    <x:row r="1926">
      <x:c r="A1926" t="str">
        <x:v>TLAHUAC</x:v>
      </x:c>
      <x:c r="B1926" t="str">
        <x:v>Puertantitla (Camino al Cerro)</x:v>
      </x:c>
      <x:c r="C1926" t="str">
        <x:v>Hombre</x:v>
      </x:c>
      <x:c r="D1926" t="str">
        <x:v>q) 80 a 84 años</x:v>
      </x:c>
      <x:c r="E1926" s="1" t="n">
        <x:v>0</x:v>
      </x:c>
    </x:row>
    <x:row r="1927">
      <x:c r="A1927" t="str">
        <x:v>TLAHUAC</x:v>
      </x:c>
      <x:c r="B1927" t="str">
        <x:v>Puertantitla (Camino al Cerro)</x:v>
      </x:c>
      <x:c r="C1927" t="str">
        <x:v>Hombre</x:v>
      </x:c>
      <x:c r="D1927" t="str">
        <x:v>r) 85 años y más</x:v>
      </x:c>
      <x:c r="E1927" s="1" t="n">
        <x:v>0</x:v>
      </x:c>
    </x:row>
    <x:row r="1928">
      <x:c r="A1928" t="str">
        <x:v>TLAHUAC</x:v>
      </x:c>
      <x:c r="B1928" t="str">
        <x:v>Puertantitla (Camino al Cerro)</x:v>
      </x:c>
      <x:c r="C1928" t="str">
        <x:v>Mujer</x:v>
      </x:c>
      <x:c r="D1928" t="str">
        <x:v>a) 0 a 4 años</x:v>
      </x:c>
      <x:c r="E1928" s="1" t="n">
        <x:v>11</x:v>
      </x:c>
    </x:row>
    <x:row r="1929">
      <x:c r="A1929" t="str">
        <x:v>TLAHUAC</x:v>
      </x:c>
      <x:c r="B1929" t="str">
        <x:v>Puertantitla (Camino al Cerro)</x:v>
      </x:c>
      <x:c r="C1929" t="str">
        <x:v>Mujer</x:v>
      </x:c>
      <x:c r="D1929" t="str">
        <x:v>b) 5 a 9 años</x:v>
      </x:c>
      <x:c r="E1929" s="1" t="n">
        <x:v>14</x:v>
      </x:c>
    </x:row>
    <x:row r="1930">
      <x:c r="A1930" t="str">
        <x:v>TLAHUAC</x:v>
      </x:c>
      <x:c r="B1930" t="str">
        <x:v>Puertantitla (Camino al Cerro)</x:v>
      </x:c>
      <x:c r="C1930" t="str">
        <x:v>Mujer</x:v>
      </x:c>
      <x:c r="D1930" t="str">
        <x:v>c) 10 a 14 años</x:v>
      </x:c>
      <x:c r="E1930" s="1" t="n">
        <x:v>10</x:v>
      </x:c>
    </x:row>
    <x:row r="1931">
      <x:c r="A1931" t="str">
        <x:v>TLAHUAC</x:v>
      </x:c>
      <x:c r="B1931" t="str">
        <x:v>Puertantitla (Camino al Cerro)</x:v>
      </x:c>
      <x:c r="C1931" t="str">
        <x:v>Mujer</x:v>
      </x:c>
      <x:c r="D1931" t="str">
        <x:v>d) 15 a 19 años</x:v>
      </x:c>
      <x:c r="E1931" s="1" t="n">
        <x:v>13</x:v>
      </x:c>
    </x:row>
    <x:row r="1932">
      <x:c r="A1932" t="str">
        <x:v>TLAHUAC</x:v>
      </x:c>
      <x:c r="B1932" t="str">
        <x:v>Puertantitla (Camino al Cerro)</x:v>
      </x:c>
      <x:c r="C1932" t="str">
        <x:v>Mujer</x:v>
      </x:c>
      <x:c r="D1932" t="str">
        <x:v>e) 20 a 24 años</x:v>
      </x:c>
      <x:c r="E1932" s="1" t="n">
        <x:v>13</x:v>
      </x:c>
    </x:row>
    <x:row r="1933">
      <x:c r="A1933" t="str">
        <x:v>TLAHUAC</x:v>
      </x:c>
      <x:c r="B1933" t="str">
        <x:v>Puertantitla (Camino al Cerro)</x:v>
      </x:c>
      <x:c r="C1933" t="str">
        <x:v>Mujer</x:v>
      </x:c>
      <x:c r="D1933" t="str">
        <x:v>f) 25 a 29 años</x:v>
      </x:c>
      <x:c r="E1933" s="1" t="n">
        <x:v>13</x:v>
      </x:c>
    </x:row>
    <x:row r="1934">
      <x:c r="A1934" t="str">
        <x:v>TLAHUAC</x:v>
      </x:c>
      <x:c r="B1934" t="str">
        <x:v>Puertantitla (Camino al Cerro)</x:v>
      </x:c>
      <x:c r="C1934" t="str">
        <x:v>Mujer</x:v>
      </x:c>
      <x:c r="D1934" t="str">
        <x:v>g) 30 a 34 años</x:v>
      </x:c>
      <x:c r="E1934" s="1" t="n">
        <x:v>15</x:v>
      </x:c>
    </x:row>
    <x:row r="1935">
      <x:c r="A1935" t="str">
        <x:v>TLAHUAC</x:v>
      </x:c>
      <x:c r="B1935" t="str">
        <x:v>Puertantitla (Camino al Cerro)</x:v>
      </x:c>
      <x:c r="C1935" t="str">
        <x:v>Mujer</x:v>
      </x:c>
      <x:c r="D1935" t="str">
        <x:v>h) 35 a 39 años</x:v>
      </x:c>
      <x:c r="E1935" s="1" t="n">
        <x:v>8</x:v>
      </x:c>
    </x:row>
    <x:row r="1936">
      <x:c r="A1936" t="str">
        <x:v>TLAHUAC</x:v>
      </x:c>
      <x:c r="B1936" t="str">
        <x:v>Puertantitla (Camino al Cerro)</x:v>
      </x:c>
      <x:c r="C1936" t="str">
        <x:v>Mujer</x:v>
      </x:c>
      <x:c r="D1936" t="str">
        <x:v>i) 40 a 44 años</x:v>
      </x:c>
      <x:c r="E1936" s="1" t="n">
        <x:v>7</x:v>
      </x:c>
    </x:row>
    <x:row r="1937">
      <x:c r="A1937" t="str">
        <x:v>TLAHUAC</x:v>
      </x:c>
      <x:c r="B1937" t="str">
        <x:v>Puertantitla (Camino al Cerro)</x:v>
      </x:c>
      <x:c r="C1937" t="str">
        <x:v>Mujer</x:v>
      </x:c>
      <x:c r="D1937" t="str">
        <x:v>j) 45 a 49 años</x:v>
      </x:c>
      <x:c r="E1937" s="1" t="n">
        <x:v>9</x:v>
      </x:c>
    </x:row>
    <x:row r="1938">
      <x:c r="A1938" t="str">
        <x:v>TLAHUAC</x:v>
      </x:c>
      <x:c r="B1938" t="str">
        <x:v>Puertantitla (Camino al Cerro)</x:v>
      </x:c>
      <x:c r="C1938" t="str">
        <x:v>Mujer</x:v>
      </x:c>
      <x:c r="D1938" t="str">
        <x:v>k) 50 a 54 años</x:v>
      </x:c>
      <x:c r="E1938" s="1" t="n">
        <x:v>12</x:v>
      </x:c>
    </x:row>
    <x:row r="1939">
      <x:c r="A1939" t="str">
        <x:v>TLAHUAC</x:v>
      </x:c>
      <x:c r="B1939" t="str">
        <x:v>Puertantitla (Camino al Cerro)</x:v>
      </x:c>
      <x:c r="C1939" t="str">
        <x:v>Mujer</x:v>
      </x:c>
      <x:c r="D1939" t="str">
        <x:v>l) 55 a 59 años</x:v>
      </x:c>
      <x:c r="E1939" s="1" t="n">
        <x:v>4</x:v>
      </x:c>
    </x:row>
    <x:row r="1940">
      <x:c r="A1940" t="str">
        <x:v>TLAHUAC</x:v>
      </x:c>
      <x:c r="B1940" t="str">
        <x:v>Puertantitla (Camino al Cerro)</x:v>
      </x:c>
      <x:c r="C1940" t="str">
        <x:v>Mujer</x:v>
      </x:c>
      <x:c r="D1940" t="str">
        <x:v>m) 60 a 64 años</x:v>
      </x:c>
      <x:c r="E1940" s="1" t="n">
        <x:v>3</x:v>
      </x:c>
    </x:row>
    <x:row r="1941">
      <x:c r="A1941" t="str">
        <x:v>TLAHUAC</x:v>
      </x:c>
      <x:c r="B1941" t="str">
        <x:v>Puertantitla (Camino al Cerro)</x:v>
      </x:c>
      <x:c r="C1941" t="str">
        <x:v>Mujer</x:v>
      </x:c>
      <x:c r="D1941" t="str">
        <x:v>n) 65 a 69 años</x:v>
      </x:c>
      <x:c r="E1941" s="1" t="n">
        <x:v>3</x:v>
      </x:c>
    </x:row>
    <x:row r="1942">
      <x:c r="A1942" t="str">
        <x:v>TLAHUAC</x:v>
      </x:c>
      <x:c r="B1942" t="str">
        <x:v>Puertantitla (Camino al Cerro)</x:v>
      </x:c>
      <x:c r="C1942" t="str">
        <x:v>Mujer</x:v>
      </x:c>
      <x:c r="D1942" t="str">
        <x:v>o) 70 a 74 años</x:v>
      </x:c>
      <x:c r="E1942" s="1" t="n">
        <x:v>1</x:v>
      </x:c>
    </x:row>
    <x:row r="1943">
      <x:c r="A1943" t="str">
        <x:v>TLAHUAC</x:v>
      </x:c>
      <x:c r="B1943" t="str">
        <x:v>Puertantitla (Camino al Cerro)</x:v>
      </x:c>
      <x:c r="C1943" t="str">
        <x:v>Mujer</x:v>
      </x:c>
      <x:c r="D1943" t="str">
        <x:v>p) 75 a 79 años</x:v>
      </x:c>
      <x:c r="E1943" s="1" t="n">
        <x:v>0</x:v>
      </x:c>
    </x:row>
    <x:row r="1944">
      <x:c r="A1944" t="str">
        <x:v>TLAHUAC</x:v>
      </x:c>
      <x:c r="B1944" t="str">
        <x:v>Puertantitla (Camino al Cerro)</x:v>
      </x:c>
      <x:c r="C1944" t="str">
        <x:v>Mujer</x:v>
      </x:c>
      <x:c r="D1944" t="str">
        <x:v>q) 80 a 84 años</x:v>
      </x:c>
      <x:c r="E1944" s="1" t="n">
        <x:v>1</x:v>
      </x:c>
    </x:row>
    <x:row r="1945">
      <x:c r="A1945" t="str">
        <x:v>TLAHUAC</x:v>
      </x:c>
      <x:c r="B1945" t="str">
        <x:v>Puertantitla (Camino al Cerro)</x:v>
      </x:c>
      <x:c r="C1945" t="str">
        <x:v>Mujer</x:v>
      </x:c>
      <x:c r="D1945" t="str">
        <x:v>r) 85 años y más</x:v>
      </x:c>
      <x:c r="E1945" s="1" t="n">
        <x:v>0</x:v>
      </x:c>
    </x:row>
    <x:row r="1946">
      <x:c r="A1946" t="str">
        <x:v>TLAHUAC</x:v>
      </x:c>
      <x:c r="B1946" t="str">
        <x:v>Apoyautla (Cerro de Guadalupe)</x:v>
      </x:c>
      <x:c r="C1946" t="str">
        <x:v>Hombre</x:v>
      </x:c>
      <x:c r="D1946" t="str">
        <x:v>a) 0 a 4 años</x:v>
      </x:c>
      <x:c r="E1946" s="1" t="n">
        <x:v>12</x:v>
      </x:c>
    </x:row>
    <x:row r="1947">
      <x:c r="A1947" t="str">
        <x:v>TLAHUAC</x:v>
      </x:c>
      <x:c r="B1947" t="str">
        <x:v>Apoyautla (Cerro de Guadalupe)</x:v>
      </x:c>
      <x:c r="C1947" t="str">
        <x:v>Hombre</x:v>
      </x:c>
      <x:c r="D1947" t="str">
        <x:v>b) 5 a 9 años</x:v>
      </x:c>
      <x:c r="E1947" s="1" t="n">
        <x:v>20</x:v>
      </x:c>
    </x:row>
    <x:row r="1948">
      <x:c r="A1948" t="str">
        <x:v>TLAHUAC</x:v>
      </x:c>
      <x:c r="B1948" t="str">
        <x:v>Apoyautla (Cerro de Guadalupe)</x:v>
      </x:c>
      <x:c r="C1948" t="str">
        <x:v>Hombre</x:v>
      </x:c>
      <x:c r="D1948" t="str">
        <x:v>c) 10 a 14 años</x:v>
      </x:c>
      <x:c r="E1948" s="1" t="n">
        <x:v>13</x:v>
      </x:c>
    </x:row>
    <x:row r="1949">
      <x:c r="A1949" t="str">
        <x:v>TLAHUAC</x:v>
      </x:c>
      <x:c r="B1949" t="str">
        <x:v>Apoyautla (Cerro de Guadalupe)</x:v>
      </x:c>
      <x:c r="C1949" t="str">
        <x:v>Hombre</x:v>
      </x:c>
      <x:c r="D1949" t="str">
        <x:v>d) 15 a 19 años</x:v>
      </x:c>
      <x:c r="E1949" s="1" t="n">
        <x:v>21</x:v>
      </x:c>
    </x:row>
    <x:row r="1950">
      <x:c r="A1950" t="str">
        <x:v>TLAHUAC</x:v>
      </x:c>
      <x:c r="B1950" t="str">
        <x:v>Apoyautla (Cerro de Guadalupe)</x:v>
      </x:c>
      <x:c r="C1950" t="str">
        <x:v>Hombre</x:v>
      </x:c>
      <x:c r="D1950" t="str">
        <x:v>e) 20 a 24 años</x:v>
      </x:c>
      <x:c r="E1950" s="1" t="n">
        <x:v>13</x:v>
      </x:c>
    </x:row>
    <x:row r="1951">
      <x:c r="A1951" t="str">
        <x:v>TLAHUAC</x:v>
      </x:c>
      <x:c r="B1951" t="str">
        <x:v>Apoyautla (Cerro de Guadalupe)</x:v>
      </x:c>
      <x:c r="C1951" t="str">
        <x:v>Hombre</x:v>
      </x:c>
      <x:c r="D1951" t="str">
        <x:v>f) 25 a 29 años</x:v>
      </x:c>
      <x:c r="E1951" s="1" t="n">
        <x:v>14</x:v>
      </x:c>
    </x:row>
    <x:row r="1952">
      <x:c r="A1952" t="str">
        <x:v>TLAHUAC</x:v>
      </x:c>
      <x:c r="B1952" t="str">
        <x:v>Apoyautla (Cerro de Guadalupe)</x:v>
      </x:c>
      <x:c r="C1952" t="str">
        <x:v>Hombre</x:v>
      </x:c>
      <x:c r="D1952" t="str">
        <x:v>g) 30 a 34 años</x:v>
      </x:c>
      <x:c r="E1952" s="1" t="n">
        <x:v>9</x:v>
      </x:c>
    </x:row>
    <x:row r="1953">
      <x:c r="A1953" t="str">
        <x:v>TLAHUAC</x:v>
      </x:c>
      <x:c r="B1953" t="str">
        <x:v>Apoyautla (Cerro de Guadalupe)</x:v>
      </x:c>
      <x:c r="C1953" t="str">
        <x:v>Hombre</x:v>
      </x:c>
      <x:c r="D1953" t="str">
        <x:v>h) 35 a 39 años</x:v>
      </x:c>
      <x:c r="E1953" s="1" t="n">
        <x:v>8</x:v>
      </x:c>
    </x:row>
    <x:row r="1954">
      <x:c r="A1954" t="str">
        <x:v>TLAHUAC</x:v>
      </x:c>
      <x:c r="B1954" t="str">
        <x:v>Apoyautla (Cerro de Guadalupe)</x:v>
      </x:c>
      <x:c r="C1954" t="str">
        <x:v>Hombre</x:v>
      </x:c>
      <x:c r="D1954" t="str">
        <x:v>i) 40 a 44 años</x:v>
      </x:c>
      <x:c r="E1954" s="1" t="n">
        <x:v>11</x:v>
      </x:c>
    </x:row>
    <x:row r="1955">
      <x:c r="A1955" t="str">
        <x:v>TLAHUAC</x:v>
      </x:c>
      <x:c r="B1955" t="str">
        <x:v>Apoyautla (Cerro de Guadalupe)</x:v>
      </x:c>
      <x:c r="C1955" t="str">
        <x:v>Hombre</x:v>
      </x:c>
      <x:c r="D1955" t="str">
        <x:v>j) 45 a 49 años</x:v>
      </x:c>
      <x:c r="E1955" s="1" t="n">
        <x:v>7</x:v>
      </x:c>
    </x:row>
    <x:row r="1956">
      <x:c r="A1956" t="str">
        <x:v>TLAHUAC</x:v>
      </x:c>
      <x:c r="B1956" t="str">
        <x:v>Apoyautla (Cerro de Guadalupe)</x:v>
      </x:c>
      <x:c r="C1956" t="str">
        <x:v>Hombre</x:v>
      </x:c>
      <x:c r="D1956" t="str">
        <x:v>k) 50 a 54 años</x:v>
      </x:c>
      <x:c r="E1956" s="1" t="n">
        <x:v>6</x:v>
      </x:c>
    </x:row>
    <x:row r="1957">
      <x:c r="A1957" t="str">
        <x:v>TLAHUAC</x:v>
      </x:c>
      <x:c r="B1957" t="str">
        <x:v>Apoyautla (Cerro de Guadalupe)</x:v>
      </x:c>
      <x:c r="C1957" t="str">
        <x:v>Hombre</x:v>
      </x:c>
      <x:c r="D1957" t="str">
        <x:v>l) 55 a 59 años</x:v>
      </x:c>
      <x:c r="E1957" s="1" t="n">
        <x:v>4</x:v>
      </x:c>
    </x:row>
    <x:row r="1958">
      <x:c r="A1958" t="str">
        <x:v>TLAHUAC</x:v>
      </x:c>
      <x:c r="B1958" t="str">
        <x:v>Apoyautla (Cerro de Guadalupe)</x:v>
      </x:c>
      <x:c r="C1958" t="str">
        <x:v>Hombre</x:v>
      </x:c>
      <x:c r="D1958" t="str">
        <x:v>m) 60 a 64 años</x:v>
      </x:c>
      <x:c r="E1958" s="1" t="n">
        <x:v>3</x:v>
      </x:c>
    </x:row>
    <x:row r="1959">
      <x:c r="A1959" t="str">
        <x:v>TLAHUAC</x:v>
      </x:c>
      <x:c r="B1959" t="str">
        <x:v>Apoyautla (Cerro de Guadalupe)</x:v>
      </x:c>
      <x:c r="C1959" t="str">
        <x:v>Hombre</x:v>
      </x:c>
      <x:c r="D1959" t="str">
        <x:v>n) 65 a 69 años</x:v>
      </x:c>
      <x:c r="E1959" s="1" t="n">
        <x:v>1</x:v>
      </x:c>
    </x:row>
    <x:row r="1960">
      <x:c r="A1960" t="str">
        <x:v>TLAHUAC</x:v>
      </x:c>
      <x:c r="B1960" t="str">
        <x:v>Apoyautla (Cerro de Guadalupe)</x:v>
      </x:c>
      <x:c r="C1960" t="str">
        <x:v>Hombre</x:v>
      </x:c>
      <x:c r="D1960" t="str">
        <x:v>o) 70 a 74 años</x:v>
      </x:c>
      <x:c r="E1960" s="1" t="n">
        <x:v>0</x:v>
      </x:c>
    </x:row>
    <x:row r="1961">
      <x:c r="A1961" t="str">
        <x:v>TLAHUAC</x:v>
      </x:c>
      <x:c r="B1961" t="str">
        <x:v>Apoyautla (Cerro de Guadalupe)</x:v>
      </x:c>
      <x:c r="C1961" t="str">
        <x:v>Hombre</x:v>
      </x:c>
      <x:c r="D1961" t="str">
        <x:v>p) 75 a 79 años</x:v>
      </x:c>
      <x:c r="E1961" s="1" t="n">
        <x:v>0</x:v>
      </x:c>
    </x:row>
    <x:row r="1962">
      <x:c r="A1962" t="str">
        <x:v>TLAHUAC</x:v>
      </x:c>
      <x:c r="B1962" t="str">
        <x:v>Apoyautla (Cerro de Guadalupe)</x:v>
      </x:c>
      <x:c r="C1962" t="str">
        <x:v>Hombre</x:v>
      </x:c>
      <x:c r="D1962" t="str">
        <x:v>q) 80 a 84 años</x:v>
      </x:c>
      <x:c r="E1962" s="1" t="n">
        <x:v>0</x:v>
      </x:c>
    </x:row>
    <x:row r="1963">
      <x:c r="A1963" t="str">
        <x:v>TLAHUAC</x:v>
      </x:c>
      <x:c r="B1963" t="str">
        <x:v>Apoyautla (Cerro de Guadalupe)</x:v>
      </x:c>
      <x:c r="C1963" t="str">
        <x:v>Hombre</x:v>
      </x:c>
      <x:c r="D1963" t="str">
        <x:v>r) 85 años y más</x:v>
      </x:c>
      <x:c r="E1963" s="1" t="n">
        <x:v>1</x:v>
      </x:c>
    </x:row>
    <x:row r="1964">
      <x:c r="A1964" t="str">
        <x:v>TLAHUAC</x:v>
      </x:c>
      <x:c r="B1964" t="str">
        <x:v>Apoyautla (Cerro de Guadalupe)</x:v>
      </x:c>
      <x:c r="C1964" t="str">
        <x:v>Mujer</x:v>
      </x:c>
      <x:c r="D1964" t="str">
        <x:v>a) 0 a 4 años</x:v>
      </x:c>
      <x:c r="E1964" s="1" t="n">
        <x:v>10</x:v>
      </x:c>
    </x:row>
    <x:row r="1965">
      <x:c r="A1965" t="str">
        <x:v>TLAHUAC</x:v>
      </x:c>
      <x:c r="B1965" t="str">
        <x:v>Apoyautla (Cerro de Guadalupe)</x:v>
      </x:c>
      <x:c r="C1965" t="str">
        <x:v>Mujer</x:v>
      </x:c>
      <x:c r="D1965" t="str">
        <x:v>b) 5 a 9 años</x:v>
      </x:c>
      <x:c r="E1965" s="1" t="n">
        <x:v>7</x:v>
      </x:c>
    </x:row>
    <x:row r="1966">
      <x:c r="A1966" t="str">
        <x:v>TLAHUAC</x:v>
      </x:c>
      <x:c r="B1966" t="str">
        <x:v>Apoyautla (Cerro de Guadalupe)</x:v>
      </x:c>
      <x:c r="C1966" t="str">
        <x:v>Mujer</x:v>
      </x:c>
      <x:c r="D1966" t="str">
        <x:v>c) 10 a 14 años</x:v>
      </x:c>
      <x:c r="E1966" s="1" t="n">
        <x:v>18</x:v>
      </x:c>
    </x:row>
    <x:row r="1967">
      <x:c r="A1967" t="str">
        <x:v>TLAHUAC</x:v>
      </x:c>
      <x:c r="B1967" t="str">
        <x:v>Apoyautla (Cerro de Guadalupe)</x:v>
      </x:c>
      <x:c r="C1967" t="str">
        <x:v>Mujer</x:v>
      </x:c>
      <x:c r="D1967" t="str">
        <x:v>d) 15 a 19 años</x:v>
      </x:c>
      <x:c r="E1967" s="1" t="n">
        <x:v>9</x:v>
      </x:c>
    </x:row>
    <x:row r="1968">
      <x:c r="A1968" t="str">
        <x:v>TLAHUAC</x:v>
      </x:c>
      <x:c r="B1968" t="str">
        <x:v>Apoyautla (Cerro de Guadalupe)</x:v>
      </x:c>
      <x:c r="C1968" t="str">
        <x:v>Mujer</x:v>
      </x:c>
      <x:c r="D1968" t="str">
        <x:v>e) 20 a 24 años</x:v>
      </x:c>
      <x:c r="E1968" s="1" t="n">
        <x:v>14</x:v>
      </x:c>
    </x:row>
    <x:row r="1969">
      <x:c r="A1969" t="str">
        <x:v>TLAHUAC</x:v>
      </x:c>
      <x:c r="B1969" t="str">
        <x:v>Apoyautla (Cerro de Guadalupe)</x:v>
      </x:c>
      <x:c r="C1969" t="str">
        <x:v>Mujer</x:v>
      </x:c>
      <x:c r="D1969" t="str">
        <x:v>f) 25 a 29 años</x:v>
      </x:c>
      <x:c r="E1969" s="1" t="n">
        <x:v>12</x:v>
      </x:c>
    </x:row>
    <x:row r="1970">
      <x:c r="A1970" t="str">
        <x:v>TLAHUAC</x:v>
      </x:c>
      <x:c r="B1970" t="str">
        <x:v>Apoyautla (Cerro de Guadalupe)</x:v>
      </x:c>
      <x:c r="C1970" t="str">
        <x:v>Mujer</x:v>
      </x:c>
      <x:c r="D1970" t="str">
        <x:v>g) 30 a 34 años</x:v>
      </x:c>
      <x:c r="E1970" s="1" t="n">
        <x:v>7</x:v>
      </x:c>
    </x:row>
    <x:row r="1971">
      <x:c r="A1971" t="str">
        <x:v>TLAHUAC</x:v>
      </x:c>
      <x:c r="B1971" t="str">
        <x:v>Apoyautla (Cerro de Guadalupe)</x:v>
      </x:c>
      <x:c r="C1971" t="str">
        <x:v>Mujer</x:v>
      </x:c>
      <x:c r="D1971" t="str">
        <x:v>h) 35 a 39 años</x:v>
      </x:c>
      <x:c r="E1971" s="1" t="n">
        <x:v>12</x:v>
      </x:c>
    </x:row>
    <x:row r="1972">
      <x:c r="A1972" t="str">
        <x:v>TLAHUAC</x:v>
      </x:c>
      <x:c r="B1972" t="str">
        <x:v>Apoyautla (Cerro de Guadalupe)</x:v>
      </x:c>
      <x:c r="C1972" t="str">
        <x:v>Mujer</x:v>
      </x:c>
      <x:c r="D1972" t="str">
        <x:v>i) 40 a 44 años</x:v>
      </x:c>
      <x:c r="E1972" s="1" t="n">
        <x:v>11</x:v>
      </x:c>
    </x:row>
    <x:row r="1973">
      <x:c r="A1973" t="str">
        <x:v>TLAHUAC</x:v>
      </x:c>
      <x:c r="B1973" t="str">
        <x:v>Apoyautla (Cerro de Guadalupe)</x:v>
      </x:c>
      <x:c r="C1973" t="str">
        <x:v>Mujer</x:v>
      </x:c>
      <x:c r="D1973" t="str">
        <x:v>j) 45 a 49 años</x:v>
      </x:c>
      <x:c r="E1973" s="1" t="n">
        <x:v>7</x:v>
      </x:c>
    </x:row>
    <x:row r="1974">
      <x:c r="A1974" t="str">
        <x:v>TLAHUAC</x:v>
      </x:c>
      <x:c r="B1974" t="str">
        <x:v>Apoyautla (Cerro de Guadalupe)</x:v>
      </x:c>
      <x:c r="C1974" t="str">
        <x:v>Mujer</x:v>
      </x:c>
      <x:c r="D1974" t="str">
        <x:v>k) 50 a 54 años</x:v>
      </x:c>
      <x:c r="E1974" s="1" t="n">
        <x:v>6</x:v>
      </x:c>
    </x:row>
    <x:row r="1975">
      <x:c r="A1975" t="str">
        <x:v>TLAHUAC</x:v>
      </x:c>
      <x:c r="B1975" t="str">
        <x:v>Apoyautla (Cerro de Guadalupe)</x:v>
      </x:c>
      <x:c r="C1975" t="str">
        <x:v>Mujer</x:v>
      </x:c>
      <x:c r="D1975" t="str">
        <x:v>l) 55 a 59 años</x:v>
      </x:c>
      <x:c r="E1975" s="1" t="n">
        <x:v>4</x:v>
      </x:c>
    </x:row>
    <x:row r="1976">
      <x:c r="A1976" t="str">
        <x:v>TLAHUAC</x:v>
      </x:c>
      <x:c r="B1976" t="str">
        <x:v>Apoyautla (Cerro de Guadalupe)</x:v>
      </x:c>
      <x:c r="C1976" t="str">
        <x:v>Mujer</x:v>
      </x:c>
      <x:c r="D1976" t="str">
        <x:v>m) 60 a 64 años</x:v>
      </x:c>
      <x:c r="E1976" s="1" t="n">
        <x:v>1</x:v>
      </x:c>
    </x:row>
    <x:row r="1977">
      <x:c r="A1977" t="str">
        <x:v>TLAHUAC</x:v>
      </x:c>
      <x:c r="B1977" t="str">
        <x:v>Apoyautla (Cerro de Guadalupe)</x:v>
      </x:c>
      <x:c r="C1977" t="str">
        <x:v>Mujer</x:v>
      </x:c>
      <x:c r="D1977" t="str">
        <x:v>n) 65 a 69 años</x:v>
      </x:c>
      <x:c r="E1977" s="1" t="n">
        <x:v>0</x:v>
      </x:c>
    </x:row>
    <x:row r="1978">
      <x:c r="A1978" t="str">
        <x:v>TLAHUAC</x:v>
      </x:c>
      <x:c r="B1978" t="str">
        <x:v>Apoyautla (Cerro de Guadalupe)</x:v>
      </x:c>
      <x:c r="C1978" t="str">
        <x:v>Mujer</x:v>
      </x:c>
      <x:c r="D1978" t="str">
        <x:v>o) 70 a 74 años</x:v>
      </x:c>
      <x:c r="E1978" s="1" t="n">
        <x:v>0</x:v>
      </x:c>
    </x:row>
    <x:row r="1979">
      <x:c r="A1979" t="str">
        <x:v>TLAHUAC</x:v>
      </x:c>
      <x:c r="B1979" t="str">
        <x:v>Apoyautla (Cerro de Guadalupe)</x:v>
      </x:c>
      <x:c r="C1979" t="str">
        <x:v>Mujer</x:v>
      </x:c>
      <x:c r="D1979" t="str">
        <x:v>p) 75 a 79 años</x:v>
      </x:c>
      <x:c r="E1979" s="1" t="n">
        <x:v>1</x:v>
      </x:c>
    </x:row>
    <x:row r="1980">
      <x:c r="A1980" t="str">
        <x:v>TLAHUAC</x:v>
      </x:c>
      <x:c r="B1980" t="str">
        <x:v>Apoyautla (Cerro de Guadalupe)</x:v>
      </x:c>
      <x:c r="C1980" t="str">
        <x:v>Mujer</x:v>
      </x:c>
      <x:c r="D1980" t="str">
        <x:v>q) 80 a 84 años</x:v>
      </x:c>
      <x:c r="E1980" s="1" t="n">
        <x:v>0</x:v>
      </x:c>
    </x:row>
    <x:row r="1981">
      <x:c r="A1981" t="str">
        <x:v>TLAHUAC</x:v>
      </x:c>
      <x:c r="B1981" t="str">
        <x:v>Apoyautla (Cerro de Guadalupe)</x:v>
      </x:c>
      <x:c r="C1981" t="str">
        <x:v>Mujer</x:v>
      </x:c>
      <x:c r="D1981" t="str">
        <x:v>r) 85 años y más</x:v>
      </x:c>
      <x:c r="E1981" s="1" t="n">
        <x:v>1</x:v>
      </x:c>
    </x:row>
    <x:row r="1982">
      <x:c r="A1982" t="str">
        <x:v>TLALPAN</x:v>
      </x:c>
      <x:c r="B1982" t="str">
        <x:v>Tlalpan</x:v>
      </x:c>
      <x:c r="C1982" t="str">
        <x:v>Hombre</x:v>
      </x:c>
      <x:c r="D1982" t="str">
        <x:v>a) 0 a 4 años</x:v>
      </x:c>
      <x:c r="E1982" s="1" t="n">
        <x:v>14186</x:v>
      </x:c>
    </x:row>
    <x:row r="1983">
      <x:c r="A1983" t="str">
        <x:v>TLALPAN</x:v>
      </x:c>
      <x:c r="B1983" t="str">
        <x:v>Tlalpan</x:v>
      </x:c>
      <x:c r="C1983" t="str">
        <x:v>Hombre</x:v>
      </x:c>
      <x:c r="D1983" t="str">
        <x:v>b) 5 a 9 años</x:v>
      </x:c>
      <x:c r="E1983" s="1" t="n">
        <x:v>18477</x:v>
      </x:c>
    </x:row>
    <x:row r="1984">
      <x:c r="A1984" t="str">
        <x:v>TLALPAN</x:v>
      </x:c>
      <x:c r="B1984" t="str">
        <x:v>Tlalpan</x:v>
      </x:c>
      <x:c r="C1984" t="str">
        <x:v>Hombre</x:v>
      </x:c>
      <x:c r="D1984" t="str">
        <x:v>c) 10 a 14 años</x:v>
      </x:c>
      <x:c r="E1984" s="1" t="n">
        <x:v>20345</x:v>
      </x:c>
    </x:row>
    <x:row r="1985">
      <x:c r="A1985" t="str">
        <x:v>TLALPAN</x:v>
      </x:c>
      <x:c r="B1985" t="str">
        <x:v>Tlalpan</x:v>
      </x:c>
      <x:c r="C1985" t="str">
        <x:v>Hombre</x:v>
      </x:c>
      <x:c r="D1985" t="str">
        <x:v>d) 15 a 19 años</x:v>
      </x:c>
      <x:c r="E1985" s="1" t="n">
        <x:v>22493</x:v>
      </x:c>
    </x:row>
    <x:row r="1986">
      <x:c r="A1986" t="str">
        <x:v>TLALPAN</x:v>
      </x:c>
      <x:c r="B1986" t="str">
        <x:v>Tlalpan</x:v>
      </x:c>
      <x:c r="C1986" t="str">
        <x:v>Hombre</x:v>
      </x:c>
      <x:c r="D1986" t="str">
        <x:v>e) 20 a 24 años</x:v>
      </x:c>
      <x:c r="E1986" s="1" t="n">
        <x:v>24728</x:v>
      </x:c>
    </x:row>
    <x:row r="1987">
      <x:c r="A1987" t="str">
        <x:v>TLALPAN</x:v>
      </x:c>
      <x:c r="B1987" t="str">
        <x:v>Tlalpan</x:v>
      </x:c>
      <x:c r="C1987" t="str">
        <x:v>Hombre</x:v>
      </x:c>
      <x:c r="D1987" t="str">
        <x:v>f) 25 a 29 años</x:v>
      </x:c>
      <x:c r="E1987" s="1" t="n">
        <x:v>23550</x:v>
      </x:c>
    </x:row>
    <x:row r="1988">
      <x:c r="A1988" t="str">
        <x:v>TLALPAN</x:v>
      </x:c>
      <x:c r="B1988" t="str">
        <x:v>Tlalpan</x:v>
      </x:c>
      <x:c r="C1988" t="str">
        <x:v>Hombre</x:v>
      </x:c>
      <x:c r="D1988" t="str">
        <x:v>g) 30 a 34 años</x:v>
      </x:c>
      <x:c r="E1988" s="1" t="n">
        <x:v>22461</x:v>
      </x:c>
    </x:row>
    <x:row r="1989">
      <x:c r="A1989" t="str">
        <x:v>TLALPAN</x:v>
      </x:c>
      <x:c r="B1989" t="str">
        <x:v>Tlalpan</x:v>
      </x:c>
      <x:c r="C1989" t="str">
        <x:v>Hombre</x:v>
      </x:c>
      <x:c r="D1989" t="str">
        <x:v>h) 35 a 39 años</x:v>
      </x:c>
      <x:c r="E1989" s="1" t="n">
        <x:v>21549</x:v>
      </x:c>
    </x:row>
    <x:row r="1990">
      <x:c r="A1990" t="str">
        <x:v>TLALPAN</x:v>
      </x:c>
      <x:c r="B1990" t="str">
        <x:v>Tlalpan</x:v>
      </x:c>
      <x:c r="C1990" t="str">
        <x:v>Hombre</x:v>
      </x:c>
      <x:c r="D1990" t="str">
        <x:v>i) 40 a 44 años</x:v>
      </x:c>
      <x:c r="E1990" s="1" t="n">
        <x:v>20702</x:v>
      </x:c>
    </x:row>
    <x:row r="1991">
      <x:c r="A1991" t="str">
        <x:v>TLALPAN</x:v>
      </x:c>
      <x:c r="B1991" t="str">
        <x:v>Tlalpan</x:v>
      </x:c>
      <x:c r="C1991" t="str">
        <x:v>Hombre</x:v>
      </x:c>
      <x:c r="D1991" t="str">
        <x:v>j) 45 a 49 años</x:v>
      </x:c>
      <x:c r="E1991" s="1" t="n">
        <x:v>20544</x:v>
      </x:c>
    </x:row>
    <x:row r="1992">
      <x:c r="A1992" t="str">
        <x:v>TLALPAN</x:v>
      </x:c>
      <x:c r="B1992" t="str">
        <x:v>Tlalpan</x:v>
      </x:c>
      <x:c r="C1992" t="str">
        <x:v>Hombre</x:v>
      </x:c>
      <x:c r="D1992" t="str">
        <x:v>k) 50 a 54 años</x:v>
      </x:c>
      <x:c r="E1992" s="1" t="n">
        <x:v>18251</x:v>
      </x:c>
    </x:row>
    <x:row r="1993">
      <x:c r="A1993" t="str">
        <x:v>TLALPAN</x:v>
      </x:c>
      <x:c r="B1993" t="str">
        <x:v>Tlalpan</x:v>
      </x:c>
      <x:c r="C1993" t="str">
        <x:v>Hombre</x:v>
      </x:c>
      <x:c r="D1993" t="str">
        <x:v>l) 55 a 59 años</x:v>
      </x:c>
      <x:c r="E1993" s="1" t="n">
        <x:v>15164</x:v>
      </x:c>
    </x:row>
    <x:row r="1994">
      <x:c r="A1994" t="str">
        <x:v>TLALPAN</x:v>
      </x:c>
      <x:c r="B1994" t="str">
        <x:v>Tlalpan</x:v>
      </x:c>
      <x:c r="C1994" t="str">
        <x:v>Hombre</x:v>
      </x:c>
      <x:c r="D1994" t="str">
        <x:v>m) 60 a 64 años</x:v>
      </x:c>
      <x:c r="E1994" s="1" t="n">
        <x:v>13830</x:v>
      </x:c>
    </x:row>
    <x:row r="1995">
      <x:c r="A1995" t="str">
        <x:v>TLALPAN</x:v>
      </x:c>
      <x:c r="B1995" t="str">
        <x:v>Tlalpan</x:v>
      </x:c>
      <x:c r="C1995" t="str">
        <x:v>Hombre</x:v>
      </x:c>
      <x:c r="D1995" t="str">
        <x:v>n) 65 a 69 años</x:v>
      </x:c>
      <x:c r="E1995" s="1" t="n">
        <x:v>10833</x:v>
      </x:c>
    </x:row>
    <x:row r="1996">
      <x:c r="A1996" t="str">
        <x:v>TLALPAN</x:v>
      </x:c>
      <x:c r="B1996" t="str">
        <x:v>Tlalpan</x:v>
      </x:c>
      <x:c r="C1996" t="str">
        <x:v>Hombre</x:v>
      </x:c>
      <x:c r="D1996" t="str">
        <x:v>o) 70 a 74 años</x:v>
      </x:c>
      <x:c r="E1996" s="1" t="n">
        <x:v>7972</x:v>
      </x:c>
    </x:row>
    <x:row r="1997">
      <x:c r="A1997" t="str">
        <x:v>TLALPAN</x:v>
      </x:c>
      <x:c r="B1997" t="str">
        <x:v>Tlalpan</x:v>
      </x:c>
      <x:c r="C1997" t="str">
        <x:v>Hombre</x:v>
      </x:c>
      <x:c r="D1997" t="str">
        <x:v>p) 75 a 79 años</x:v>
      </x:c>
      <x:c r="E1997" s="1" t="n">
        <x:v>5072</x:v>
      </x:c>
    </x:row>
    <x:row r="1998">
      <x:c r="A1998" t="str">
        <x:v>TLALPAN</x:v>
      </x:c>
      <x:c r="B1998" t="str">
        <x:v>Tlalpan</x:v>
      </x:c>
      <x:c r="C1998" t="str">
        <x:v>Hombre</x:v>
      </x:c>
      <x:c r="D1998" t="str">
        <x:v>q) 80 a 84 años</x:v>
      </x:c>
      <x:c r="E1998" s="1" t="n">
        <x:v>3026</x:v>
      </x:c>
    </x:row>
    <x:row r="1999">
      <x:c r="A1999" t="str">
        <x:v>TLALPAN</x:v>
      </x:c>
      <x:c r="B1999" t="str">
        <x:v>Tlalpan</x:v>
      </x:c>
      <x:c r="C1999" t="str">
        <x:v>Hombre</x:v>
      </x:c>
      <x:c r="D1999" t="str">
        <x:v>r) 85 años y más</x:v>
      </x:c>
      <x:c r="E1999" s="1" t="n">
        <x:v>2239</x:v>
      </x:c>
    </x:row>
    <x:row r="2000">
      <x:c r="A2000" t="str">
        <x:v>TLALPAN</x:v>
      </x:c>
      <x:c r="B2000" t="str">
        <x:v>Tlalpan</x:v>
      </x:c>
      <x:c r="C2000" t="str">
        <x:v>Mujer</x:v>
      </x:c>
      <x:c r="D2000" t="str">
        <x:v>a) 0 a 4 años</x:v>
      </x:c>
      <x:c r="E2000" s="1" t="n">
        <x:v>13805</x:v>
      </x:c>
    </x:row>
    <x:row r="2001">
      <x:c r="A2001" t="str">
        <x:v>TLALPAN</x:v>
      </x:c>
      <x:c r="B2001" t="str">
        <x:v>Tlalpan</x:v>
      </x:c>
      <x:c r="C2001" t="str">
        <x:v>Mujer</x:v>
      </x:c>
      <x:c r="D2001" t="str">
        <x:v>b) 5 a 9 años</x:v>
      </x:c>
      <x:c r="E2001" s="1" t="n">
        <x:v>18099</x:v>
      </x:c>
    </x:row>
    <x:row r="2002">
      <x:c r="A2002" t="str">
        <x:v>TLALPAN</x:v>
      </x:c>
      <x:c r="B2002" t="str">
        <x:v>Tlalpan</x:v>
      </x:c>
      <x:c r="C2002" t="str">
        <x:v>Mujer</x:v>
      </x:c>
      <x:c r="D2002" t="str">
        <x:v>c) 10 a 14 años</x:v>
      </x:c>
      <x:c r="E2002" s="1" t="n">
        <x:v>19720</x:v>
      </x:c>
    </x:row>
    <x:row r="2003">
      <x:c r="A2003" t="str">
        <x:v>TLALPAN</x:v>
      </x:c>
      <x:c r="B2003" t="str">
        <x:v>Tlalpan</x:v>
      </x:c>
      <x:c r="C2003" t="str">
        <x:v>Mujer</x:v>
      </x:c>
      <x:c r="D2003" t="str">
        <x:v>d) 15 a 19 años</x:v>
      </x:c>
      <x:c r="E2003" s="1" t="n">
        <x:v>21550</x:v>
      </x:c>
    </x:row>
    <x:row r="2004">
      <x:c r="A2004" t="str">
        <x:v>TLALPAN</x:v>
      </x:c>
      <x:c r="B2004" t="str">
        <x:v>Tlalpan</x:v>
      </x:c>
      <x:c r="C2004" t="str">
        <x:v>Mujer</x:v>
      </x:c>
      <x:c r="D2004" t="str">
        <x:v>e) 20 a 24 años</x:v>
      </x:c>
      <x:c r="E2004" s="1" t="n">
        <x:v>24049</x:v>
      </x:c>
    </x:row>
    <x:row r="2005">
      <x:c r="A2005" t="str">
        <x:v>TLALPAN</x:v>
      </x:c>
      <x:c r="B2005" t="str">
        <x:v>Tlalpan</x:v>
      </x:c>
      <x:c r="C2005" t="str">
        <x:v>Mujer</x:v>
      </x:c>
      <x:c r="D2005" t="str">
        <x:v>f) 25 a 29 años</x:v>
      </x:c>
      <x:c r="E2005" s="1" t="n">
        <x:v>24096</x:v>
      </x:c>
    </x:row>
    <x:row r="2006">
      <x:c r="A2006" t="str">
        <x:v>TLALPAN</x:v>
      </x:c>
      <x:c r="B2006" t="str">
        <x:v>Tlalpan</x:v>
      </x:c>
      <x:c r="C2006" t="str">
        <x:v>Mujer</x:v>
      </x:c>
      <x:c r="D2006" t="str">
        <x:v>g) 30 a 34 años</x:v>
      </x:c>
      <x:c r="E2006" s="1" t="n">
        <x:v>24063</x:v>
      </x:c>
    </x:row>
    <x:row r="2007">
      <x:c r="A2007" t="str">
        <x:v>TLALPAN</x:v>
      </x:c>
      <x:c r="B2007" t="str">
        <x:v>Tlalpan</x:v>
      </x:c>
      <x:c r="C2007" t="str">
        <x:v>Mujer</x:v>
      </x:c>
      <x:c r="D2007" t="str">
        <x:v>h) 35 a 39 años</x:v>
      </x:c>
      <x:c r="E2007" s="1" t="n">
        <x:v>23931</x:v>
      </x:c>
    </x:row>
    <x:row r="2008">
      <x:c r="A2008" t="str">
        <x:v>TLALPAN</x:v>
      </x:c>
      <x:c r="B2008" t="str">
        <x:v>Tlalpan</x:v>
      </x:c>
      <x:c r="C2008" t="str">
        <x:v>Mujer</x:v>
      </x:c>
      <x:c r="D2008" t="str">
        <x:v>i) 40 a 44 años</x:v>
      </x:c>
      <x:c r="E2008" s="1" t="n">
        <x:v>23491</x:v>
      </x:c>
    </x:row>
    <x:row r="2009">
      <x:c r="A2009" t="str">
        <x:v>TLALPAN</x:v>
      </x:c>
      <x:c r="B2009" t="str">
        <x:v>Tlalpan</x:v>
      </x:c>
      <x:c r="C2009" t="str">
        <x:v>Mujer</x:v>
      </x:c>
      <x:c r="D2009" t="str">
        <x:v>j) 45 a 49 años</x:v>
      </x:c>
      <x:c r="E2009" s="1" t="n">
        <x:v>23778</x:v>
      </x:c>
    </x:row>
    <x:row r="2010">
      <x:c r="A2010" t="str">
        <x:v>TLALPAN</x:v>
      </x:c>
      <x:c r="B2010" t="str">
        <x:v>Tlalpan</x:v>
      </x:c>
      <x:c r="C2010" t="str">
        <x:v>Mujer</x:v>
      </x:c>
      <x:c r="D2010" t="str">
        <x:v>k) 50 a 54 años</x:v>
      </x:c>
      <x:c r="E2010" s="1" t="n">
        <x:v>21991</x:v>
      </x:c>
    </x:row>
    <x:row r="2011">
      <x:c r="A2011" t="str">
        <x:v>TLALPAN</x:v>
      </x:c>
      <x:c r="B2011" t="str">
        <x:v>Tlalpan</x:v>
      </x:c>
      <x:c r="C2011" t="str">
        <x:v>Mujer</x:v>
      </x:c>
      <x:c r="D2011" t="str">
        <x:v>l) 55 a 59 años</x:v>
      </x:c>
      <x:c r="E2011" s="1" t="n">
        <x:v>18782</x:v>
      </x:c>
    </x:row>
    <x:row r="2012">
      <x:c r="A2012" t="str">
        <x:v>TLALPAN</x:v>
      </x:c>
      <x:c r="B2012" t="str">
        <x:v>Tlalpan</x:v>
      </x:c>
      <x:c r="C2012" t="str">
        <x:v>Mujer</x:v>
      </x:c>
      <x:c r="D2012" t="str">
        <x:v>m) 60 a 64 años</x:v>
      </x:c>
      <x:c r="E2012" s="1" t="n">
        <x:v>17483</x:v>
      </x:c>
    </x:row>
    <x:row r="2013">
      <x:c r="A2013" t="str">
        <x:v>TLALPAN</x:v>
      </x:c>
      <x:c r="B2013" t="str">
        <x:v>Tlalpan</x:v>
      </x:c>
      <x:c r="C2013" t="str">
        <x:v>Mujer</x:v>
      </x:c>
      <x:c r="D2013" t="str">
        <x:v>n) 65 a 69 años</x:v>
      </x:c>
      <x:c r="E2013" s="1" t="n">
        <x:v>13729</x:v>
      </x:c>
    </x:row>
    <x:row r="2014">
      <x:c r="A2014" t="str">
        <x:v>TLALPAN</x:v>
      </x:c>
      <x:c r="B2014" t="str">
        <x:v>Tlalpan</x:v>
      </x:c>
      <x:c r="C2014" t="str">
        <x:v>Mujer</x:v>
      </x:c>
      <x:c r="D2014" t="str">
        <x:v>o) 70 a 74 años</x:v>
      </x:c>
      <x:c r="E2014" s="1" t="n">
        <x:v>10325</x:v>
      </x:c>
    </x:row>
    <x:row r="2015">
      <x:c r="A2015" t="str">
        <x:v>TLALPAN</x:v>
      </x:c>
      <x:c r="B2015" t="str">
        <x:v>Tlalpan</x:v>
      </x:c>
      <x:c r="C2015" t="str">
        <x:v>Mujer</x:v>
      </x:c>
      <x:c r="D2015" t="str">
        <x:v>p) 75 a 79 años</x:v>
      </x:c>
      <x:c r="E2015" s="1" t="n">
        <x:v>6586</x:v>
      </x:c>
    </x:row>
    <x:row r="2016">
      <x:c r="A2016" t="str">
        <x:v>TLALPAN</x:v>
      </x:c>
      <x:c r="B2016" t="str">
        <x:v>Tlalpan</x:v>
      </x:c>
      <x:c r="C2016" t="str">
        <x:v>Mujer</x:v>
      </x:c>
      <x:c r="D2016" t="str">
        <x:v>q) 80 a 84 años</x:v>
      </x:c>
      <x:c r="E2016" s="1" t="n">
        <x:v>4524</x:v>
      </x:c>
    </x:row>
    <x:row r="2017">
      <x:c r="A2017" t="str">
        <x:v>TLALPAN</x:v>
      </x:c>
      <x:c r="B2017" t="str">
        <x:v>Tlalpan</x:v>
      </x:c>
      <x:c r="C2017" t="str">
        <x:v>Mujer</x:v>
      </x:c>
      <x:c r="D2017" t="str">
        <x:v>r) 85 años y más</x:v>
      </x:c>
      <x:c r="E2017" s="1" t="n">
        <x:v>4048</x:v>
      </x:c>
    </x:row>
    <x:row r="2018">
      <x:c r="A2018" t="str">
        <x:v>TLALPAN</x:v>
      </x:c>
      <x:c r="B2018" t="str">
        <x:v>Parres (El Guarda)</x:v>
      </x:c>
      <x:c r="C2018" t="str">
        <x:v>Hombre</x:v>
      </x:c>
      <x:c r="D2018" t="str">
        <x:v>a) 0 a 4 años</x:v>
      </x:c>
      <x:c r="E2018" s="1" t="n">
        <x:v>134</x:v>
      </x:c>
    </x:row>
    <x:row r="2019">
      <x:c r="A2019" t="str">
        <x:v>TLALPAN</x:v>
      </x:c>
      <x:c r="B2019" t="str">
        <x:v>Parres (El Guarda)</x:v>
      </x:c>
      <x:c r="C2019" t="str">
        <x:v>Hombre</x:v>
      </x:c>
      <x:c r="D2019" t="str">
        <x:v>b) 5 a 9 años</x:v>
      </x:c>
      <x:c r="E2019" s="1" t="n">
        <x:v>167</x:v>
      </x:c>
    </x:row>
    <x:row r="2020">
      <x:c r="A2020" t="str">
        <x:v>TLALPAN</x:v>
      </x:c>
      <x:c r="B2020" t="str">
        <x:v>Parres (El Guarda)</x:v>
      </x:c>
      <x:c r="C2020" t="str">
        <x:v>Hombre</x:v>
      </x:c>
      <x:c r="D2020" t="str">
        <x:v>c) 10 a 14 años</x:v>
      </x:c>
      <x:c r="E2020" s="1" t="n">
        <x:v>131</x:v>
      </x:c>
    </x:row>
    <x:row r="2021">
      <x:c r="A2021" t="str">
        <x:v>TLALPAN</x:v>
      </x:c>
      <x:c r="B2021" t="str">
        <x:v>Parres (El Guarda)</x:v>
      </x:c>
      <x:c r="C2021" t="str">
        <x:v>Hombre</x:v>
      </x:c>
      <x:c r="D2021" t="str">
        <x:v>d) 15 a 19 años</x:v>
      </x:c>
      <x:c r="E2021" s="1" t="n">
        <x:v>134</x:v>
      </x:c>
    </x:row>
    <x:row r="2022">
      <x:c r="A2022" t="str">
        <x:v>TLALPAN</x:v>
      </x:c>
      <x:c r="B2022" t="str">
        <x:v>Parres (El Guarda)</x:v>
      </x:c>
      <x:c r="C2022" t="str">
        <x:v>Hombre</x:v>
      </x:c>
      <x:c r="D2022" t="str">
        <x:v>e) 20 a 24 años</x:v>
      </x:c>
      <x:c r="E2022" s="1" t="n">
        <x:v>148</x:v>
      </x:c>
    </x:row>
    <x:row r="2023">
      <x:c r="A2023" t="str">
        <x:v>TLALPAN</x:v>
      </x:c>
      <x:c r="B2023" t="str">
        <x:v>Parres (El Guarda)</x:v>
      </x:c>
      <x:c r="C2023" t="str">
        <x:v>Hombre</x:v>
      </x:c>
      <x:c r="D2023" t="str">
        <x:v>f) 25 a 29 años</x:v>
      </x:c>
      <x:c r="E2023" s="1" t="n">
        <x:v>140</x:v>
      </x:c>
    </x:row>
    <x:row r="2024">
      <x:c r="A2024" t="str">
        <x:v>TLALPAN</x:v>
      </x:c>
      <x:c r="B2024" t="str">
        <x:v>Parres (El Guarda)</x:v>
      </x:c>
      <x:c r="C2024" t="str">
        <x:v>Hombre</x:v>
      </x:c>
      <x:c r="D2024" t="str">
        <x:v>g) 30 a 34 años</x:v>
      </x:c>
      <x:c r="E2024" s="1" t="n">
        <x:v>129</x:v>
      </x:c>
    </x:row>
    <x:row r="2025">
      <x:c r="A2025" t="str">
        <x:v>TLALPAN</x:v>
      </x:c>
      <x:c r="B2025" t="str">
        <x:v>Parres (El Guarda)</x:v>
      </x:c>
      <x:c r="C2025" t="str">
        <x:v>Hombre</x:v>
      </x:c>
      <x:c r="D2025" t="str">
        <x:v>h) 35 a 39 años</x:v>
      </x:c>
      <x:c r="E2025" s="1" t="n">
        <x:v>112</x:v>
      </x:c>
    </x:row>
    <x:row r="2026">
      <x:c r="A2026" t="str">
        <x:v>TLALPAN</x:v>
      </x:c>
      <x:c r="B2026" t="str">
        <x:v>Parres (El Guarda)</x:v>
      </x:c>
      <x:c r="C2026" t="str">
        <x:v>Hombre</x:v>
      </x:c>
      <x:c r="D2026" t="str">
        <x:v>i) 40 a 44 años</x:v>
      </x:c>
      <x:c r="E2026" s="1" t="n">
        <x:v>88</x:v>
      </x:c>
    </x:row>
    <x:row r="2027">
      <x:c r="A2027" t="str">
        <x:v>TLALPAN</x:v>
      </x:c>
      <x:c r="B2027" t="str">
        <x:v>Parres (El Guarda)</x:v>
      </x:c>
      <x:c r="C2027" t="str">
        <x:v>Hombre</x:v>
      </x:c>
      <x:c r="D2027" t="str">
        <x:v>j) 45 a 49 años</x:v>
      </x:c>
      <x:c r="E2027" s="1" t="n">
        <x:v>94</x:v>
      </x:c>
    </x:row>
    <x:row r="2028">
      <x:c r="A2028" t="str">
        <x:v>TLALPAN</x:v>
      </x:c>
      <x:c r="B2028" t="str">
        <x:v>Parres (El Guarda)</x:v>
      </x:c>
      <x:c r="C2028" t="str">
        <x:v>Hombre</x:v>
      </x:c>
      <x:c r="D2028" t="str">
        <x:v>k) 50 a 54 años</x:v>
      </x:c>
      <x:c r="E2028" s="1" t="n">
        <x:v>94</x:v>
      </x:c>
    </x:row>
    <x:row r="2029">
      <x:c r="A2029" t="str">
        <x:v>TLALPAN</x:v>
      </x:c>
      <x:c r="B2029" t="str">
        <x:v>Parres (El Guarda)</x:v>
      </x:c>
      <x:c r="C2029" t="str">
        <x:v>Hombre</x:v>
      </x:c>
      <x:c r="D2029" t="str">
        <x:v>l) 55 a 59 años</x:v>
      </x:c>
      <x:c r="E2029" s="1" t="n">
        <x:v>61</x:v>
      </x:c>
    </x:row>
    <x:row r="2030">
      <x:c r="A2030" t="str">
        <x:v>TLALPAN</x:v>
      </x:c>
      <x:c r="B2030" t="str">
        <x:v>Parres (El Guarda)</x:v>
      </x:c>
      <x:c r="C2030" t="str">
        <x:v>Hombre</x:v>
      </x:c>
      <x:c r="D2030" t="str">
        <x:v>m) 60 a 64 años</x:v>
      </x:c>
      <x:c r="E2030" s="1" t="n">
        <x:v>60</x:v>
      </x:c>
    </x:row>
    <x:row r="2031">
      <x:c r="A2031" t="str">
        <x:v>TLALPAN</x:v>
      </x:c>
      <x:c r="B2031" t="str">
        <x:v>Parres (El Guarda)</x:v>
      </x:c>
      <x:c r="C2031" t="str">
        <x:v>Hombre</x:v>
      </x:c>
      <x:c r="D2031" t="str">
        <x:v>n) 65 a 69 años</x:v>
      </x:c>
      <x:c r="E2031" s="1" t="n">
        <x:v>42</x:v>
      </x:c>
    </x:row>
    <x:row r="2032">
      <x:c r="A2032" t="str">
        <x:v>TLALPAN</x:v>
      </x:c>
      <x:c r="B2032" t="str">
        <x:v>Parres (El Guarda)</x:v>
      </x:c>
      <x:c r="C2032" t="str">
        <x:v>Hombre</x:v>
      </x:c>
      <x:c r="D2032" t="str">
        <x:v>o) 70 a 74 años</x:v>
      </x:c>
      <x:c r="E2032" s="1" t="n">
        <x:v>25</x:v>
      </x:c>
    </x:row>
    <x:row r="2033">
      <x:c r="A2033" t="str">
        <x:v>TLALPAN</x:v>
      </x:c>
      <x:c r="B2033" t="str">
        <x:v>Parres (El Guarda)</x:v>
      </x:c>
      <x:c r="C2033" t="str">
        <x:v>Hombre</x:v>
      </x:c>
      <x:c r="D2033" t="str">
        <x:v>p) 75 a 79 años</x:v>
      </x:c>
      <x:c r="E2033" s="1" t="n">
        <x:v>20</x:v>
      </x:c>
    </x:row>
    <x:row r="2034">
      <x:c r="A2034" t="str">
        <x:v>TLALPAN</x:v>
      </x:c>
      <x:c r="B2034" t="str">
        <x:v>Parres (El Guarda)</x:v>
      </x:c>
      <x:c r="C2034" t="str">
        <x:v>Hombre</x:v>
      </x:c>
      <x:c r="D2034" t="str">
        <x:v>q) 80 a 84 años</x:v>
      </x:c>
      <x:c r="E2034" s="1" t="n">
        <x:v>8</x:v>
      </x:c>
    </x:row>
    <x:row r="2035">
      <x:c r="A2035" t="str">
        <x:v>TLALPAN</x:v>
      </x:c>
      <x:c r="B2035" t="str">
        <x:v>Parres (El Guarda)</x:v>
      </x:c>
      <x:c r="C2035" t="str">
        <x:v>Hombre</x:v>
      </x:c>
      <x:c r="D2035" t="str">
        <x:v>r) 85 años y más</x:v>
      </x:c>
      <x:c r="E2035" s="1" t="n">
        <x:v>6</x:v>
      </x:c>
    </x:row>
    <x:row r="2036">
      <x:c r="A2036" t="str">
        <x:v>TLALPAN</x:v>
      </x:c>
      <x:c r="B2036" t="str">
        <x:v>Parres (El Guarda)</x:v>
      </x:c>
      <x:c r="C2036" t="str">
        <x:v>Mujer</x:v>
      </x:c>
      <x:c r="D2036" t="str">
        <x:v>a) 0 a 4 años</x:v>
      </x:c>
      <x:c r="E2036" s="1" t="n">
        <x:v>128</x:v>
      </x:c>
    </x:row>
    <x:row r="2037">
      <x:c r="A2037" t="str">
        <x:v>TLALPAN</x:v>
      </x:c>
      <x:c r="B2037" t="str">
        <x:v>Parres (El Guarda)</x:v>
      </x:c>
      <x:c r="C2037" t="str">
        <x:v>Mujer</x:v>
      </x:c>
      <x:c r="D2037" t="str">
        <x:v>b) 5 a 9 años</x:v>
      </x:c>
      <x:c r="E2037" s="1" t="n">
        <x:v>137</x:v>
      </x:c>
    </x:row>
    <x:row r="2038">
      <x:c r="A2038" t="str">
        <x:v>TLALPAN</x:v>
      </x:c>
      <x:c r="B2038" t="str">
        <x:v>Parres (El Guarda)</x:v>
      </x:c>
      <x:c r="C2038" t="str">
        <x:v>Mujer</x:v>
      </x:c>
      <x:c r="D2038" t="str">
        <x:v>c) 10 a 14 años</x:v>
      </x:c>
      <x:c r="E2038" s="1" t="n">
        <x:v>122</x:v>
      </x:c>
    </x:row>
    <x:row r="2039">
      <x:c r="A2039" t="str">
        <x:v>TLALPAN</x:v>
      </x:c>
      <x:c r="B2039" t="str">
        <x:v>Parres (El Guarda)</x:v>
      </x:c>
      <x:c r="C2039" t="str">
        <x:v>Mujer</x:v>
      </x:c>
      <x:c r="D2039" t="str">
        <x:v>d) 15 a 19 años</x:v>
      </x:c>
      <x:c r="E2039" s="1" t="n">
        <x:v>126</x:v>
      </x:c>
    </x:row>
    <x:row r="2040">
      <x:c r="A2040" t="str">
        <x:v>TLALPAN</x:v>
      </x:c>
      <x:c r="B2040" t="str">
        <x:v>Parres (El Guarda)</x:v>
      </x:c>
      <x:c r="C2040" t="str">
        <x:v>Mujer</x:v>
      </x:c>
      <x:c r="D2040" t="str">
        <x:v>e) 20 a 24 años</x:v>
      </x:c>
      <x:c r="E2040" s="1" t="n">
        <x:v>144</x:v>
      </x:c>
    </x:row>
    <x:row r="2041">
      <x:c r="A2041" t="str">
        <x:v>TLALPAN</x:v>
      </x:c>
      <x:c r="B2041" t="str">
        <x:v>Parres (El Guarda)</x:v>
      </x:c>
      <x:c r="C2041" t="str">
        <x:v>Mujer</x:v>
      </x:c>
      <x:c r="D2041" t="str">
        <x:v>f) 25 a 29 años</x:v>
      </x:c>
      <x:c r="E2041" s="1" t="n">
        <x:v>157</x:v>
      </x:c>
    </x:row>
    <x:row r="2042">
      <x:c r="A2042" t="str">
        <x:v>TLALPAN</x:v>
      </x:c>
      <x:c r="B2042" t="str">
        <x:v>Parres (El Guarda)</x:v>
      </x:c>
      <x:c r="C2042" t="str">
        <x:v>Mujer</x:v>
      </x:c>
      <x:c r="D2042" t="str">
        <x:v>g) 30 a 34 años</x:v>
      </x:c>
      <x:c r="E2042" s="1" t="n">
        <x:v>129</x:v>
      </x:c>
    </x:row>
    <x:row r="2043">
      <x:c r="A2043" t="str">
        <x:v>TLALPAN</x:v>
      </x:c>
      <x:c r="B2043" t="str">
        <x:v>Parres (El Guarda)</x:v>
      </x:c>
      <x:c r="C2043" t="str">
        <x:v>Mujer</x:v>
      </x:c>
      <x:c r="D2043" t="str">
        <x:v>h) 35 a 39 años</x:v>
      </x:c>
      <x:c r="E2043" s="1" t="n">
        <x:v>114</x:v>
      </x:c>
    </x:row>
    <x:row r="2044">
      <x:c r="A2044" t="str">
        <x:v>TLALPAN</x:v>
      </x:c>
      <x:c r="B2044" t="str">
        <x:v>Parres (El Guarda)</x:v>
      </x:c>
      <x:c r="C2044" t="str">
        <x:v>Mujer</x:v>
      </x:c>
      <x:c r="D2044" t="str">
        <x:v>i) 40 a 44 años</x:v>
      </x:c>
      <x:c r="E2044" s="1" t="n">
        <x:v>111</x:v>
      </x:c>
    </x:row>
    <x:row r="2045">
      <x:c r="A2045" t="str">
        <x:v>TLALPAN</x:v>
      </x:c>
      <x:c r="B2045" t="str">
        <x:v>Parres (El Guarda)</x:v>
      </x:c>
      <x:c r="C2045" t="str">
        <x:v>Mujer</x:v>
      </x:c>
      <x:c r="D2045" t="str">
        <x:v>j) 45 a 49 años</x:v>
      </x:c>
      <x:c r="E2045" s="1" t="n">
        <x:v>115</x:v>
      </x:c>
    </x:row>
    <x:row r="2046">
      <x:c r="A2046" t="str">
        <x:v>TLALPAN</x:v>
      </x:c>
      <x:c r="B2046" t="str">
        <x:v>Parres (El Guarda)</x:v>
      </x:c>
      <x:c r="C2046" t="str">
        <x:v>Mujer</x:v>
      </x:c>
      <x:c r="D2046" t="str">
        <x:v>k) 50 a 54 años</x:v>
      </x:c>
      <x:c r="E2046" s="1" t="n">
        <x:v>92</x:v>
      </x:c>
    </x:row>
    <x:row r="2047">
      <x:c r="A2047" t="str">
        <x:v>TLALPAN</x:v>
      </x:c>
      <x:c r="B2047" t="str">
        <x:v>Parres (El Guarda)</x:v>
      </x:c>
      <x:c r="C2047" t="str">
        <x:v>Mujer</x:v>
      </x:c>
      <x:c r="D2047" t="str">
        <x:v>l) 55 a 59 años</x:v>
      </x:c>
      <x:c r="E2047" s="1" t="n">
        <x:v>72</x:v>
      </x:c>
    </x:row>
    <x:row r="2048">
      <x:c r="A2048" t="str">
        <x:v>TLALPAN</x:v>
      </x:c>
      <x:c r="B2048" t="str">
        <x:v>Parres (El Guarda)</x:v>
      </x:c>
      <x:c r="C2048" t="str">
        <x:v>Mujer</x:v>
      </x:c>
      <x:c r="D2048" t="str">
        <x:v>m) 60 a 64 años</x:v>
      </x:c>
      <x:c r="E2048" s="1" t="n">
        <x:v>59</x:v>
      </x:c>
    </x:row>
    <x:row r="2049">
      <x:c r="A2049" t="str">
        <x:v>TLALPAN</x:v>
      </x:c>
      <x:c r="B2049" t="str">
        <x:v>Parres (El Guarda)</x:v>
      </x:c>
      <x:c r="C2049" t="str">
        <x:v>Mujer</x:v>
      </x:c>
      <x:c r="D2049" t="str">
        <x:v>n) 65 a 69 años</x:v>
      </x:c>
      <x:c r="E2049" s="1" t="n">
        <x:v>46</x:v>
      </x:c>
    </x:row>
    <x:row r="2050">
      <x:c r="A2050" t="str">
        <x:v>TLALPAN</x:v>
      </x:c>
      <x:c r="B2050" t="str">
        <x:v>Parres (El Guarda)</x:v>
      </x:c>
      <x:c r="C2050" t="str">
        <x:v>Mujer</x:v>
      </x:c>
      <x:c r="D2050" t="str">
        <x:v>o) 70 a 74 años</x:v>
      </x:c>
      <x:c r="E2050" s="1" t="n">
        <x:v>22</x:v>
      </x:c>
    </x:row>
    <x:row r="2051">
      <x:c r="A2051" t="str">
        <x:v>TLALPAN</x:v>
      </x:c>
      <x:c r="B2051" t="str">
        <x:v>Parres (El Guarda)</x:v>
      </x:c>
      <x:c r="C2051" t="str">
        <x:v>Mujer</x:v>
      </x:c>
      <x:c r="D2051" t="str">
        <x:v>p) 75 a 79 años</x:v>
      </x:c>
      <x:c r="E2051" s="1" t="n">
        <x:v>13</x:v>
      </x:c>
    </x:row>
    <x:row r="2052">
      <x:c r="A2052" t="str">
        <x:v>TLALPAN</x:v>
      </x:c>
      <x:c r="B2052" t="str">
        <x:v>Parres (El Guarda)</x:v>
      </x:c>
      <x:c r="C2052" t="str">
        <x:v>Mujer</x:v>
      </x:c>
      <x:c r="D2052" t="str">
        <x:v>q) 80 a 84 años</x:v>
      </x:c>
      <x:c r="E2052" s="1" t="n">
        <x:v>8</x:v>
      </x:c>
    </x:row>
    <x:row r="2053">
      <x:c r="A2053" t="str">
        <x:v>TLALPAN</x:v>
      </x:c>
      <x:c r="B2053" t="str">
        <x:v>Parres (El Guarda)</x:v>
      </x:c>
      <x:c r="C2053" t="str">
        <x:v>Mujer</x:v>
      </x:c>
      <x:c r="D2053" t="str">
        <x:v>r) 85 años y más</x:v>
      </x:c>
      <x:c r="E2053" s="1" t="n">
        <x:v>9</x:v>
      </x:c>
    </x:row>
    <x:row r="2054">
      <x:c r="A2054" t="str">
        <x:v>TLALPAN</x:v>
      </x:c>
      <x:c r="B2054" t="str">
        <x:v>San Miguel Ajusco</x:v>
      </x:c>
      <x:c r="C2054" t="str">
        <x:v>Hombre</x:v>
      </x:c>
      <x:c r="D2054" t="str">
        <x:v>a) 0 a 4 años</x:v>
      </x:c>
      <x:c r="E2054" s="1" t="n">
        <x:v>1184</x:v>
      </x:c>
    </x:row>
    <x:row r="2055">
      <x:c r="A2055" t="str">
        <x:v>TLALPAN</x:v>
      </x:c>
      <x:c r="B2055" t="str">
        <x:v>San Miguel Ajusco</x:v>
      </x:c>
      <x:c r="C2055" t="str">
        <x:v>Hombre</x:v>
      </x:c>
      <x:c r="D2055" t="str">
        <x:v>b) 5 a 9 años</x:v>
      </x:c>
      <x:c r="E2055" s="1" t="n">
        <x:v>1599</x:v>
      </x:c>
    </x:row>
    <x:row r="2056">
      <x:c r="A2056" t="str">
        <x:v>TLALPAN</x:v>
      </x:c>
      <x:c r="B2056" t="str">
        <x:v>San Miguel Ajusco</x:v>
      </x:c>
      <x:c r="C2056" t="str">
        <x:v>Hombre</x:v>
      </x:c>
      <x:c r="D2056" t="str">
        <x:v>c) 10 a 14 años</x:v>
      </x:c>
      <x:c r="E2056" s="1" t="n">
        <x:v>1630</x:v>
      </x:c>
    </x:row>
    <x:row r="2057">
      <x:c r="A2057" t="str">
        <x:v>TLALPAN</x:v>
      </x:c>
      <x:c r="B2057" t="str">
        <x:v>San Miguel Ajusco</x:v>
      </x:c>
      <x:c r="C2057" t="str">
        <x:v>Hombre</x:v>
      </x:c>
      <x:c r="D2057" t="str">
        <x:v>d) 15 a 19 años</x:v>
      </x:c>
      <x:c r="E2057" s="1" t="n">
        <x:v>1713</x:v>
      </x:c>
    </x:row>
    <x:row r="2058">
      <x:c r="A2058" t="str">
        <x:v>TLALPAN</x:v>
      </x:c>
      <x:c r="B2058" t="str">
        <x:v>San Miguel Ajusco</x:v>
      </x:c>
      <x:c r="C2058" t="str">
        <x:v>Hombre</x:v>
      </x:c>
      <x:c r="D2058" t="str">
        <x:v>e) 20 a 24 años</x:v>
      </x:c>
      <x:c r="E2058" s="1" t="n">
        <x:v>1614</x:v>
      </x:c>
    </x:row>
    <x:row r="2059">
      <x:c r="A2059" t="str">
        <x:v>TLALPAN</x:v>
      </x:c>
      <x:c r="B2059" t="str">
        <x:v>San Miguel Ajusco</x:v>
      </x:c>
      <x:c r="C2059" t="str">
        <x:v>Hombre</x:v>
      </x:c>
      <x:c r="D2059" t="str">
        <x:v>f) 25 a 29 años</x:v>
      </x:c>
      <x:c r="E2059" s="1" t="n">
        <x:v>1535</x:v>
      </x:c>
    </x:row>
    <x:row r="2060">
      <x:c r="A2060" t="str">
        <x:v>TLALPAN</x:v>
      </x:c>
      <x:c r="B2060" t="str">
        <x:v>San Miguel Ajusco</x:v>
      </x:c>
      <x:c r="C2060" t="str">
        <x:v>Hombre</x:v>
      </x:c>
      <x:c r="D2060" t="str">
        <x:v>g) 30 a 34 años</x:v>
      </x:c>
      <x:c r="E2060" s="1" t="n">
        <x:v>1383</x:v>
      </x:c>
    </x:row>
    <x:row r="2061">
      <x:c r="A2061" t="str">
        <x:v>TLALPAN</x:v>
      </x:c>
      <x:c r="B2061" t="str">
        <x:v>San Miguel Ajusco</x:v>
      </x:c>
      <x:c r="C2061" t="str">
        <x:v>Hombre</x:v>
      </x:c>
      <x:c r="D2061" t="str">
        <x:v>h) 35 a 39 años</x:v>
      </x:c>
      <x:c r="E2061" s="1" t="n">
        <x:v>1296</x:v>
      </x:c>
    </x:row>
    <x:row r="2062">
      <x:c r="A2062" t="str">
        <x:v>TLALPAN</x:v>
      </x:c>
      <x:c r="B2062" t="str">
        <x:v>San Miguel Ajusco</x:v>
      </x:c>
      <x:c r="C2062" t="str">
        <x:v>Hombre</x:v>
      </x:c>
      <x:c r="D2062" t="str">
        <x:v>i) 40 a 44 años</x:v>
      </x:c>
      <x:c r="E2062" s="1" t="n">
        <x:v>1267</x:v>
      </x:c>
    </x:row>
    <x:row r="2063">
      <x:c r="A2063" t="str">
        <x:v>TLALPAN</x:v>
      </x:c>
      <x:c r="B2063" t="str">
        <x:v>San Miguel Ajusco</x:v>
      </x:c>
      <x:c r="C2063" t="str">
        <x:v>Hombre</x:v>
      </x:c>
      <x:c r="D2063" t="str">
        <x:v>j) 45 a 49 años</x:v>
      </x:c>
      <x:c r="E2063" s="1" t="n">
        <x:v>1217</x:v>
      </x:c>
    </x:row>
    <x:row r="2064">
      <x:c r="A2064" t="str">
        <x:v>TLALPAN</x:v>
      </x:c>
      <x:c r="B2064" t="str">
        <x:v>San Miguel Ajusco</x:v>
      </x:c>
      <x:c r="C2064" t="str">
        <x:v>Hombre</x:v>
      </x:c>
      <x:c r="D2064" t="str">
        <x:v>k) 50 a 54 años</x:v>
      </x:c>
      <x:c r="E2064" s="1" t="n">
        <x:v>1087</x:v>
      </x:c>
    </x:row>
    <x:row r="2065">
      <x:c r="A2065" t="str">
        <x:v>TLALPAN</x:v>
      </x:c>
      <x:c r="B2065" t="str">
        <x:v>San Miguel Ajusco</x:v>
      </x:c>
      <x:c r="C2065" t="str">
        <x:v>Hombre</x:v>
      </x:c>
      <x:c r="D2065" t="str">
        <x:v>l) 55 a 59 años</x:v>
      </x:c>
      <x:c r="E2065" s="1" t="n">
        <x:v>861</x:v>
      </x:c>
    </x:row>
    <x:row r="2066">
      <x:c r="A2066" t="str">
        <x:v>TLALPAN</x:v>
      </x:c>
      <x:c r="B2066" t="str">
        <x:v>San Miguel Ajusco</x:v>
      </x:c>
      <x:c r="C2066" t="str">
        <x:v>Hombre</x:v>
      </x:c>
      <x:c r="D2066" t="str">
        <x:v>m) 60 a 64 años</x:v>
      </x:c>
      <x:c r="E2066" s="1" t="n">
        <x:v>691</x:v>
      </x:c>
    </x:row>
    <x:row r="2067">
      <x:c r="A2067" t="str">
        <x:v>TLALPAN</x:v>
      </x:c>
      <x:c r="B2067" t="str">
        <x:v>San Miguel Ajusco</x:v>
      </x:c>
      <x:c r="C2067" t="str">
        <x:v>Hombre</x:v>
      </x:c>
      <x:c r="D2067" t="str">
        <x:v>n) 65 a 69 años</x:v>
      </x:c>
      <x:c r="E2067" s="1" t="n">
        <x:v>465</x:v>
      </x:c>
    </x:row>
    <x:row r="2068">
      <x:c r="A2068" t="str">
        <x:v>TLALPAN</x:v>
      </x:c>
      <x:c r="B2068" t="str">
        <x:v>San Miguel Ajusco</x:v>
      </x:c>
      <x:c r="C2068" t="str">
        <x:v>Hombre</x:v>
      </x:c>
      <x:c r="D2068" t="str">
        <x:v>o) 70 a 74 años</x:v>
      </x:c>
      <x:c r="E2068" s="1" t="n">
        <x:v>278</x:v>
      </x:c>
    </x:row>
    <x:row r="2069">
      <x:c r="A2069" t="str">
        <x:v>TLALPAN</x:v>
      </x:c>
      <x:c r="B2069" t="str">
        <x:v>San Miguel Ajusco</x:v>
      </x:c>
      <x:c r="C2069" t="str">
        <x:v>Hombre</x:v>
      </x:c>
      <x:c r="D2069" t="str">
        <x:v>p) 75 a 79 años</x:v>
      </x:c>
      <x:c r="E2069" s="1" t="n">
        <x:v>165</x:v>
      </x:c>
    </x:row>
    <x:row r="2070">
      <x:c r="A2070" t="str">
        <x:v>TLALPAN</x:v>
      </x:c>
      <x:c r="B2070" t="str">
        <x:v>San Miguel Ajusco</x:v>
      </x:c>
      <x:c r="C2070" t="str">
        <x:v>Hombre</x:v>
      </x:c>
      <x:c r="D2070" t="str">
        <x:v>q) 80 a 84 años</x:v>
      </x:c>
      <x:c r="E2070" s="1" t="n">
        <x:v>94</x:v>
      </x:c>
    </x:row>
    <x:row r="2071">
      <x:c r="A2071" t="str">
        <x:v>TLALPAN</x:v>
      </x:c>
      <x:c r="B2071" t="str">
        <x:v>San Miguel Ajusco</x:v>
      </x:c>
      <x:c r="C2071" t="str">
        <x:v>Hombre</x:v>
      </x:c>
      <x:c r="D2071" t="str">
        <x:v>r) 85 años y más</x:v>
      </x:c>
      <x:c r="E2071" s="1" t="n">
        <x:v>64</x:v>
      </x:c>
    </x:row>
    <x:row r="2072">
      <x:c r="A2072" t="str">
        <x:v>TLALPAN</x:v>
      </x:c>
      <x:c r="B2072" t="str">
        <x:v>San Miguel Ajusco</x:v>
      </x:c>
      <x:c r="C2072" t="str">
        <x:v>Mujer</x:v>
      </x:c>
      <x:c r="D2072" t="str">
        <x:v>a) 0 a 4 años</x:v>
      </x:c>
      <x:c r="E2072" s="1" t="n">
        <x:v>1199</x:v>
      </x:c>
    </x:row>
    <x:row r="2073">
      <x:c r="A2073" t="str">
        <x:v>TLALPAN</x:v>
      </x:c>
      <x:c r="B2073" t="str">
        <x:v>San Miguel Ajusco</x:v>
      </x:c>
      <x:c r="C2073" t="str">
        <x:v>Mujer</x:v>
      </x:c>
      <x:c r="D2073" t="str">
        <x:v>b) 5 a 9 años</x:v>
      </x:c>
      <x:c r="E2073" s="1" t="n">
        <x:v>1583</x:v>
      </x:c>
    </x:row>
    <x:row r="2074">
      <x:c r="A2074" t="str">
        <x:v>TLALPAN</x:v>
      </x:c>
      <x:c r="B2074" t="str">
        <x:v>San Miguel Ajusco</x:v>
      </x:c>
      <x:c r="C2074" t="str">
        <x:v>Mujer</x:v>
      </x:c>
      <x:c r="D2074" t="str">
        <x:v>c) 10 a 14 años</x:v>
      </x:c>
      <x:c r="E2074" s="1" t="n">
        <x:v>1566</x:v>
      </x:c>
    </x:row>
    <x:row r="2075">
      <x:c r="A2075" t="str">
        <x:v>TLALPAN</x:v>
      </x:c>
      <x:c r="B2075" t="str">
        <x:v>San Miguel Ajusco</x:v>
      </x:c>
      <x:c r="C2075" t="str">
        <x:v>Mujer</x:v>
      </x:c>
      <x:c r="D2075" t="str">
        <x:v>d) 15 a 19 años</x:v>
      </x:c>
      <x:c r="E2075" s="1" t="n">
        <x:v>1615</x:v>
      </x:c>
    </x:row>
    <x:row r="2076">
      <x:c r="A2076" t="str">
        <x:v>TLALPAN</x:v>
      </x:c>
      <x:c r="B2076" t="str">
        <x:v>San Miguel Ajusco</x:v>
      </x:c>
      <x:c r="C2076" t="str">
        <x:v>Mujer</x:v>
      </x:c>
      <x:c r="D2076" t="str">
        <x:v>e) 20 a 24 años</x:v>
      </x:c>
      <x:c r="E2076" s="1" t="n">
        <x:v>1571</x:v>
      </x:c>
    </x:row>
    <x:row r="2077">
      <x:c r="A2077" t="str">
        <x:v>TLALPAN</x:v>
      </x:c>
      <x:c r="B2077" t="str">
        <x:v>San Miguel Ajusco</x:v>
      </x:c>
      <x:c r="C2077" t="str">
        <x:v>Mujer</x:v>
      </x:c>
      <x:c r="D2077" t="str">
        <x:v>f) 25 a 29 años</x:v>
      </x:c>
      <x:c r="E2077" s="1" t="n">
        <x:v>1727</x:v>
      </x:c>
    </x:row>
    <x:row r="2078">
      <x:c r="A2078" t="str">
        <x:v>TLALPAN</x:v>
      </x:c>
      <x:c r="B2078" t="str">
        <x:v>San Miguel Ajusco</x:v>
      </x:c>
      <x:c r="C2078" t="str">
        <x:v>Mujer</x:v>
      </x:c>
      <x:c r="D2078" t="str">
        <x:v>g) 30 a 34 años</x:v>
      </x:c>
      <x:c r="E2078" s="1" t="n">
        <x:v>1501</x:v>
      </x:c>
    </x:row>
    <x:row r="2079">
      <x:c r="A2079" t="str">
        <x:v>TLALPAN</x:v>
      </x:c>
      <x:c r="B2079" t="str">
        <x:v>San Miguel Ajusco</x:v>
      </x:c>
      <x:c r="C2079" t="str">
        <x:v>Mujer</x:v>
      </x:c>
      <x:c r="D2079" t="str">
        <x:v>h) 35 a 39 años</x:v>
      </x:c>
      <x:c r="E2079" s="1" t="n">
        <x:v>1376</x:v>
      </x:c>
    </x:row>
    <x:row r="2080">
      <x:c r="A2080" t="str">
        <x:v>TLALPAN</x:v>
      </x:c>
      <x:c r="B2080" t="str">
        <x:v>San Miguel Ajusco</x:v>
      </x:c>
      <x:c r="C2080" t="str">
        <x:v>Mujer</x:v>
      </x:c>
      <x:c r="D2080" t="str">
        <x:v>i) 40 a 44 años</x:v>
      </x:c>
      <x:c r="E2080" s="1" t="n">
        <x:v>1363</x:v>
      </x:c>
    </x:row>
    <x:row r="2081">
      <x:c r="A2081" t="str">
        <x:v>TLALPAN</x:v>
      </x:c>
      <x:c r="B2081" t="str">
        <x:v>San Miguel Ajusco</x:v>
      </x:c>
      <x:c r="C2081" t="str">
        <x:v>Mujer</x:v>
      </x:c>
      <x:c r="D2081" t="str">
        <x:v>j) 45 a 49 años</x:v>
      </x:c>
      <x:c r="E2081" s="1" t="n">
        <x:v>1346</x:v>
      </x:c>
    </x:row>
    <x:row r="2082">
      <x:c r="A2082" t="str">
        <x:v>TLALPAN</x:v>
      </x:c>
      <x:c r="B2082" t="str">
        <x:v>San Miguel Ajusco</x:v>
      </x:c>
      <x:c r="C2082" t="str">
        <x:v>Mujer</x:v>
      </x:c>
      <x:c r="D2082" t="str">
        <x:v>k) 50 a 54 años</x:v>
      </x:c>
      <x:c r="E2082" s="1" t="n">
        <x:v>1260</x:v>
      </x:c>
    </x:row>
    <x:row r="2083">
      <x:c r="A2083" t="str">
        <x:v>TLALPAN</x:v>
      </x:c>
      <x:c r="B2083" t="str">
        <x:v>San Miguel Ajusco</x:v>
      </x:c>
      <x:c r="C2083" t="str">
        <x:v>Mujer</x:v>
      </x:c>
      <x:c r="D2083" t="str">
        <x:v>l) 55 a 59 años</x:v>
      </x:c>
      <x:c r="E2083" s="1" t="n">
        <x:v>948</x:v>
      </x:c>
    </x:row>
    <x:row r="2084">
      <x:c r="A2084" t="str">
        <x:v>TLALPAN</x:v>
      </x:c>
      <x:c r="B2084" t="str">
        <x:v>San Miguel Ajusco</x:v>
      </x:c>
      <x:c r="C2084" t="str">
        <x:v>Mujer</x:v>
      </x:c>
      <x:c r="D2084" t="str">
        <x:v>m) 60 a 64 años</x:v>
      </x:c>
      <x:c r="E2084" s="1" t="n">
        <x:v>768</x:v>
      </x:c>
    </x:row>
    <x:row r="2085">
      <x:c r="A2085" t="str">
        <x:v>TLALPAN</x:v>
      </x:c>
      <x:c r="B2085" t="str">
        <x:v>San Miguel Ajusco</x:v>
      </x:c>
      <x:c r="C2085" t="str">
        <x:v>Mujer</x:v>
      </x:c>
      <x:c r="D2085" t="str">
        <x:v>n) 65 a 69 años</x:v>
      </x:c>
      <x:c r="E2085" s="1" t="n">
        <x:v>500</x:v>
      </x:c>
    </x:row>
    <x:row r="2086">
      <x:c r="A2086" t="str">
        <x:v>TLALPAN</x:v>
      </x:c>
      <x:c r="B2086" t="str">
        <x:v>San Miguel Ajusco</x:v>
      </x:c>
      <x:c r="C2086" t="str">
        <x:v>Mujer</x:v>
      </x:c>
      <x:c r="D2086" t="str">
        <x:v>o) 70 a 74 años</x:v>
      </x:c>
      <x:c r="E2086" s="1" t="n">
        <x:v>343</x:v>
      </x:c>
    </x:row>
    <x:row r="2087">
      <x:c r="A2087" t="str">
        <x:v>TLALPAN</x:v>
      </x:c>
      <x:c r="B2087" t="str">
        <x:v>San Miguel Ajusco</x:v>
      </x:c>
      <x:c r="C2087" t="str">
        <x:v>Mujer</x:v>
      </x:c>
      <x:c r="D2087" t="str">
        <x:v>p) 75 a 79 años</x:v>
      </x:c>
      <x:c r="E2087" s="1" t="n">
        <x:v>191</x:v>
      </x:c>
    </x:row>
    <x:row r="2088">
      <x:c r="A2088" t="str">
        <x:v>TLALPAN</x:v>
      </x:c>
      <x:c r="B2088" t="str">
        <x:v>San Miguel Ajusco</x:v>
      </x:c>
      <x:c r="C2088" t="str">
        <x:v>Mujer</x:v>
      </x:c>
      <x:c r="D2088" t="str">
        <x:v>q) 80 a 84 años</x:v>
      </x:c>
      <x:c r="E2088" s="1" t="n">
        <x:v>109</x:v>
      </x:c>
    </x:row>
    <x:row r="2089">
      <x:c r="A2089" t="str">
        <x:v>TLALPAN</x:v>
      </x:c>
      <x:c r="B2089" t="str">
        <x:v>San Miguel Ajusco</x:v>
      </x:c>
      <x:c r="C2089" t="str">
        <x:v>Mujer</x:v>
      </x:c>
      <x:c r="D2089" t="str">
        <x:v>r) 85 años y más</x:v>
      </x:c>
      <x:c r="E2089" s="1" t="n">
        <x:v>110</x:v>
      </x:c>
    </x:row>
    <x:row r="2090">
      <x:c r="A2090" t="str">
        <x:v>TLALPAN</x:v>
      </x:c>
      <x:c r="B2090" t="str">
        <x:v>San Miguel Topilejo</x:v>
      </x:c>
      <x:c r="C2090" t="str">
        <x:v>Hombre</x:v>
      </x:c>
      <x:c r="D2090" t="str">
        <x:v>a) 0 a 4 años</x:v>
      </x:c>
      <x:c r="E2090" s="1" t="n">
        <x:v>1433</x:v>
      </x:c>
    </x:row>
    <x:row r="2091">
      <x:c r="A2091" t="str">
        <x:v>TLALPAN</x:v>
      </x:c>
      <x:c r="B2091" t="str">
        <x:v>San Miguel Topilejo</x:v>
      </x:c>
      <x:c r="C2091" t="str">
        <x:v>Hombre</x:v>
      </x:c>
      <x:c r="D2091" t="str">
        <x:v>b) 5 a 9 años</x:v>
      </x:c>
      <x:c r="E2091" s="1" t="n">
        <x:v>1808</x:v>
      </x:c>
    </x:row>
    <x:row r="2092">
      <x:c r="A2092" t="str">
        <x:v>TLALPAN</x:v>
      </x:c>
      <x:c r="B2092" t="str">
        <x:v>San Miguel Topilejo</x:v>
      </x:c>
      <x:c r="C2092" t="str">
        <x:v>Hombre</x:v>
      </x:c>
      <x:c r="D2092" t="str">
        <x:v>c) 10 a 14 años</x:v>
      </x:c>
      <x:c r="E2092" s="1" t="n">
        <x:v>1964</x:v>
      </x:c>
    </x:row>
    <x:row r="2093">
      <x:c r="A2093" t="str">
        <x:v>TLALPAN</x:v>
      </x:c>
      <x:c r="B2093" t="str">
        <x:v>San Miguel Topilejo</x:v>
      </x:c>
      <x:c r="C2093" t="str">
        <x:v>Hombre</x:v>
      </x:c>
      <x:c r="D2093" t="str">
        <x:v>d) 15 a 19 años</x:v>
      </x:c>
      <x:c r="E2093" s="1" t="n">
        <x:v>1855</x:v>
      </x:c>
    </x:row>
    <x:row r="2094">
      <x:c r="A2094" t="str">
        <x:v>TLALPAN</x:v>
      </x:c>
      <x:c r="B2094" t="str">
        <x:v>San Miguel Topilejo</x:v>
      </x:c>
      <x:c r="C2094" t="str">
        <x:v>Hombre</x:v>
      </x:c>
      <x:c r="D2094" t="str">
        <x:v>e) 20 a 24 años</x:v>
      </x:c>
      <x:c r="E2094" s="1" t="n">
        <x:v>1874</x:v>
      </x:c>
    </x:row>
    <x:row r="2095">
      <x:c r="A2095" t="str">
        <x:v>TLALPAN</x:v>
      </x:c>
      <x:c r="B2095" t="str">
        <x:v>San Miguel Topilejo</x:v>
      </x:c>
      <x:c r="C2095" t="str">
        <x:v>Hombre</x:v>
      </x:c>
      <x:c r="D2095" t="str">
        <x:v>f) 25 a 29 años</x:v>
      </x:c>
      <x:c r="E2095" s="1" t="n">
        <x:v>1775</x:v>
      </x:c>
    </x:row>
    <x:row r="2096">
      <x:c r="A2096" t="str">
        <x:v>TLALPAN</x:v>
      </x:c>
      <x:c r="B2096" t="str">
        <x:v>San Miguel Topilejo</x:v>
      </x:c>
      <x:c r="C2096" t="str">
        <x:v>Hombre</x:v>
      </x:c>
      <x:c r="D2096" t="str">
        <x:v>g) 30 a 34 años</x:v>
      </x:c>
      <x:c r="E2096" s="1" t="n">
        <x:v>1602</x:v>
      </x:c>
    </x:row>
    <x:row r="2097">
      <x:c r="A2097" t="str">
        <x:v>TLALPAN</x:v>
      </x:c>
      <x:c r="B2097" t="str">
        <x:v>San Miguel Topilejo</x:v>
      </x:c>
      <x:c r="C2097" t="str">
        <x:v>Hombre</x:v>
      </x:c>
      <x:c r="D2097" t="str">
        <x:v>h) 35 a 39 años</x:v>
      </x:c>
      <x:c r="E2097" s="1" t="n">
        <x:v>1422</x:v>
      </x:c>
    </x:row>
    <x:row r="2098">
      <x:c r="A2098" t="str">
        <x:v>TLALPAN</x:v>
      </x:c>
      <x:c r="B2098" t="str">
        <x:v>San Miguel Topilejo</x:v>
      </x:c>
      <x:c r="C2098" t="str">
        <x:v>Hombre</x:v>
      </x:c>
      <x:c r="D2098" t="str">
        <x:v>i) 40 a 44 años</x:v>
      </x:c>
      <x:c r="E2098" s="1" t="n">
        <x:v>1346</x:v>
      </x:c>
    </x:row>
    <x:row r="2099">
      <x:c r="A2099" t="str">
        <x:v>TLALPAN</x:v>
      </x:c>
      <x:c r="B2099" t="str">
        <x:v>San Miguel Topilejo</x:v>
      </x:c>
      <x:c r="C2099" t="str">
        <x:v>Hombre</x:v>
      </x:c>
      <x:c r="D2099" t="str">
        <x:v>j) 45 a 49 años</x:v>
      </x:c>
      <x:c r="E2099" s="1" t="n">
        <x:v>1298</x:v>
      </x:c>
    </x:row>
    <x:row r="2100">
      <x:c r="A2100" t="str">
        <x:v>TLALPAN</x:v>
      </x:c>
      <x:c r="B2100" t="str">
        <x:v>San Miguel Topilejo</x:v>
      </x:c>
      <x:c r="C2100" t="str">
        <x:v>Hombre</x:v>
      </x:c>
      <x:c r="D2100" t="str">
        <x:v>k) 50 a 54 años</x:v>
      </x:c>
      <x:c r="E2100" s="1" t="n">
        <x:v>1156</x:v>
      </x:c>
    </x:row>
    <x:row r="2101">
      <x:c r="A2101" t="str">
        <x:v>TLALPAN</x:v>
      </x:c>
      <x:c r="B2101" t="str">
        <x:v>San Miguel Topilejo</x:v>
      </x:c>
      <x:c r="C2101" t="str">
        <x:v>Hombre</x:v>
      </x:c>
      <x:c r="D2101" t="str">
        <x:v>l) 55 a 59 años</x:v>
      </x:c>
      <x:c r="E2101" s="1" t="n">
        <x:v>913</x:v>
      </x:c>
    </x:row>
    <x:row r="2102">
      <x:c r="A2102" t="str">
        <x:v>TLALPAN</x:v>
      </x:c>
      <x:c r="B2102" t="str">
        <x:v>San Miguel Topilejo</x:v>
      </x:c>
      <x:c r="C2102" t="str">
        <x:v>Hombre</x:v>
      </x:c>
      <x:c r="D2102" t="str">
        <x:v>m) 60 a 64 años</x:v>
      </x:c>
      <x:c r="E2102" s="1" t="n">
        <x:v>643</x:v>
      </x:c>
    </x:row>
    <x:row r="2103">
      <x:c r="A2103" t="str">
        <x:v>TLALPAN</x:v>
      </x:c>
      <x:c r="B2103" t="str">
        <x:v>San Miguel Topilejo</x:v>
      </x:c>
      <x:c r="C2103" t="str">
        <x:v>Hombre</x:v>
      </x:c>
      <x:c r="D2103" t="str">
        <x:v>n) 65 a 69 años</x:v>
      </x:c>
      <x:c r="E2103" s="1" t="n">
        <x:v>476</x:v>
      </x:c>
    </x:row>
    <x:row r="2104">
      <x:c r="A2104" t="str">
        <x:v>TLALPAN</x:v>
      </x:c>
      <x:c r="B2104" t="str">
        <x:v>San Miguel Topilejo</x:v>
      </x:c>
      <x:c r="C2104" t="str">
        <x:v>Hombre</x:v>
      </x:c>
      <x:c r="D2104" t="str">
        <x:v>o) 70 a 74 años</x:v>
      </x:c>
      <x:c r="E2104" s="1" t="n">
        <x:v>258</x:v>
      </x:c>
    </x:row>
    <x:row r="2105">
      <x:c r="A2105" t="str">
        <x:v>TLALPAN</x:v>
      </x:c>
      <x:c r="B2105" t="str">
        <x:v>San Miguel Topilejo</x:v>
      </x:c>
      <x:c r="C2105" t="str">
        <x:v>Hombre</x:v>
      </x:c>
      <x:c r="D2105" t="str">
        <x:v>p) 75 a 79 años</x:v>
      </x:c>
      <x:c r="E2105" s="1" t="n">
        <x:v>201</x:v>
      </x:c>
    </x:row>
    <x:row r="2106">
      <x:c r="A2106" t="str">
        <x:v>TLALPAN</x:v>
      </x:c>
      <x:c r="B2106" t="str">
        <x:v>San Miguel Topilejo</x:v>
      </x:c>
      <x:c r="C2106" t="str">
        <x:v>Hombre</x:v>
      </x:c>
      <x:c r="D2106" t="str">
        <x:v>q) 80 a 84 años</x:v>
      </x:c>
      <x:c r="E2106" s="1" t="n">
        <x:v>87</x:v>
      </x:c>
    </x:row>
    <x:row r="2107">
      <x:c r="A2107" t="str">
        <x:v>TLALPAN</x:v>
      </x:c>
      <x:c r="B2107" t="str">
        <x:v>San Miguel Topilejo</x:v>
      </x:c>
      <x:c r="C2107" t="str">
        <x:v>Hombre</x:v>
      </x:c>
      <x:c r="D2107" t="str">
        <x:v>r) 85 años y más</x:v>
      </x:c>
      <x:c r="E2107" s="1" t="n">
        <x:v>62</x:v>
      </x:c>
    </x:row>
    <x:row r="2108">
      <x:c r="A2108" t="str">
        <x:v>TLALPAN</x:v>
      </x:c>
      <x:c r="B2108" t="str">
        <x:v>San Miguel Topilejo</x:v>
      </x:c>
      <x:c r="C2108" t="str">
        <x:v>Mujer</x:v>
      </x:c>
      <x:c r="D2108" t="str">
        <x:v>a) 0 a 4 años</x:v>
      </x:c>
      <x:c r="E2108" s="1" t="n">
        <x:v>1400</x:v>
      </x:c>
    </x:row>
    <x:row r="2109">
      <x:c r="A2109" t="str">
        <x:v>TLALPAN</x:v>
      </x:c>
      <x:c r="B2109" t="str">
        <x:v>San Miguel Topilejo</x:v>
      </x:c>
      <x:c r="C2109" t="str">
        <x:v>Mujer</x:v>
      </x:c>
      <x:c r="D2109" t="str">
        <x:v>b) 5 a 9 años</x:v>
      </x:c>
      <x:c r="E2109" s="1" t="n">
        <x:v>1663</x:v>
      </x:c>
    </x:row>
    <x:row r="2110">
      <x:c r="A2110" t="str">
        <x:v>TLALPAN</x:v>
      </x:c>
      <x:c r="B2110" t="str">
        <x:v>San Miguel Topilejo</x:v>
      </x:c>
      <x:c r="C2110" t="str">
        <x:v>Mujer</x:v>
      </x:c>
      <x:c r="D2110" t="str">
        <x:v>c) 10 a 14 años</x:v>
      </x:c>
      <x:c r="E2110" s="1" t="n">
        <x:v>1810</x:v>
      </x:c>
    </x:row>
    <x:row r="2111">
      <x:c r="A2111" t="str">
        <x:v>TLALPAN</x:v>
      </x:c>
      <x:c r="B2111" t="str">
        <x:v>San Miguel Topilejo</x:v>
      </x:c>
      <x:c r="C2111" t="str">
        <x:v>Mujer</x:v>
      </x:c>
      <x:c r="D2111" t="str">
        <x:v>d) 15 a 19 años</x:v>
      </x:c>
      <x:c r="E2111" s="1" t="n">
        <x:v>1779</x:v>
      </x:c>
    </x:row>
    <x:row r="2112">
      <x:c r="A2112" t="str">
        <x:v>TLALPAN</x:v>
      </x:c>
      <x:c r="B2112" t="str">
        <x:v>San Miguel Topilejo</x:v>
      </x:c>
      <x:c r="C2112" t="str">
        <x:v>Mujer</x:v>
      </x:c>
      <x:c r="D2112" t="str">
        <x:v>e) 20 a 24 años</x:v>
      </x:c>
      <x:c r="E2112" s="1" t="n">
        <x:v>1833</x:v>
      </x:c>
    </x:row>
    <x:row r="2113">
      <x:c r="A2113" t="str">
        <x:v>TLALPAN</x:v>
      </x:c>
      <x:c r="B2113" t="str">
        <x:v>San Miguel Topilejo</x:v>
      </x:c>
      <x:c r="C2113" t="str">
        <x:v>Mujer</x:v>
      </x:c>
      <x:c r="D2113" t="str">
        <x:v>f) 25 a 29 años</x:v>
      </x:c>
      <x:c r="E2113" s="1" t="n">
        <x:v>1867</x:v>
      </x:c>
    </x:row>
    <x:row r="2114">
      <x:c r="A2114" t="str">
        <x:v>TLALPAN</x:v>
      </x:c>
      <x:c r="B2114" t="str">
        <x:v>San Miguel Topilejo</x:v>
      </x:c>
      <x:c r="C2114" t="str">
        <x:v>Mujer</x:v>
      </x:c>
      <x:c r="D2114" t="str">
        <x:v>g) 30 a 34 años</x:v>
      </x:c>
      <x:c r="E2114" s="1" t="n">
        <x:v>1712</x:v>
      </x:c>
    </x:row>
    <x:row r="2115">
      <x:c r="A2115" t="str">
        <x:v>TLALPAN</x:v>
      </x:c>
      <x:c r="B2115" t="str">
        <x:v>San Miguel Topilejo</x:v>
      </x:c>
      <x:c r="C2115" t="str">
        <x:v>Mujer</x:v>
      </x:c>
      <x:c r="D2115" t="str">
        <x:v>h) 35 a 39 años</x:v>
      </x:c>
      <x:c r="E2115" s="1" t="n">
        <x:v>1580</x:v>
      </x:c>
    </x:row>
    <x:row r="2116">
      <x:c r="A2116" t="str">
        <x:v>TLALPAN</x:v>
      </x:c>
      <x:c r="B2116" t="str">
        <x:v>San Miguel Topilejo</x:v>
      </x:c>
      <x:c r="C2116" t="str">
        <x:v>Mujer</x:v>
      </x:c>
      <x:c r="D2116" t="str">
        <x:v>i) 40 a 44 años</x:v>
      </x:c>
      <x:c r="E2116" s="1" t="n">
        <x:v>1452</x:v>
      </x:c>
    </x:row>
    <x:row r="2117">
      <x:c r="A2117" t="str">
        <x:v>TLALPAN</x:v>
      </x:c>
      <x:c r="B2117" t="str">
        <x:v>San Miguel Topilejo</x:v>
      </x:c>
      <x:c r="C2117" t="str">
        <x:v>Mujer</x:v>
      </x:c>
      <x:c r="D2117" t="str">
        <x:v>j) 45 a 49 años</x:v>
      </x:c>
      <x:c r="E2117" s="1" t="n">
        <x:v>1445</x:v>
      </x:c>
    </x:row>
    <x:row r="2118">
      <x:c r="A2118" t="str">
        <x:v>TLALPAN</x:v>
      </x:c>
      <x:c r="B2118" t="str">
        <x:v>San Miguel Topilejo</x:v>
      </x:c>
      <x:c r="C2118" t="str">
        <x:v>Mujer</x:v>
      </x:c>
      <x:c r="D2118" t="str">
        <x:v>k) 50 a 54 años</x:v>
      </x:c>
      <x:c r="E2118" s="1" t="n">
        <x:v>1326</x:v>
      </x:c>
    </x:row>
    <x:row r="2119">
      <x:c r="A2119" t="str">
        <x:v>TLALPAN</x:v>
      </x:c>
      <x:c r="B2119" t="str">
        <x:v>San Miguel Topilejo</x:v>
      </x:c>
      <x:c r="C2119" t="str">
        <x:v>Mujer</x:v>
      </x:c>
      <x:c r="D2119" t="str">
        <x:v>l) 55 a 59 años</x:v>
      </x:c>
      <x:c r="E2119" s="1" t="n">
        <x:v>984</x:v>
      </x:c>
    </x:row>
    <x:row r="2120">
      <x:c r="A2120" t="str">
        <x:v>TLALPAN</x:v>
      </x:c>
      <x:c r="B2120" t="str">
        <x:v>San Miguel Topilejo</x:v>
      </x:c>
      <x:c r="C2120" t="str">
        <x:v>Mujer</x:v>
      </x:c>
      <x:c r="D2120" t="str">
        <x:v>m) 60 a 64 años</x:v>
      </x:c>
      <x:c r="E2120" s="1" t="n">
        <x:v>740</x:v>
      </x:c>
    </x:row>
    <x:row r="2121">
      <x:c r="A2121" t="str">
        <x:v>TLALPAN</x:v>
      </x:c>
      <x:c r="B2121" t="str">
        <x:v>San Miguel Topilejo</x:v>
      </x:c>
      <x:c r="C2121" t="str">
        <x:v>Mujer</x:v>
      </x:c>
      <x:c r="D2121" t="str">
        <x:v>n) 65 a 69 años</x:v>
      </x:c>
      <x:c r="E2121" s="1" t="n">
        <x:v>528</x:v>
      </x:c>
    </x:row>
    <x:row r="2122">
      <x:c r="A2122" t="str">
        <x:v>TLALPAN</x:v>
      </x:c>
      <x:c r="B2122" t="str">
        <x:v>San Miguel Topilejo</x:v>
      </x:c>
      <x:c r="C2122" t="str">
        <x:v>Mujer</x:v>
      </x:c>
      <x:c r="D2122" t="str">
        <x:v>o) 70 a 74 años</x:v>
      </x:c>
      <x:c r="E2122" s="1" t="n">
        <x:v>345</x:v>
      </x:c>
    </x:row>
    <x:row r="2123">
      <x:c r="A2123" t="str">
        <x:v>TLALPAN</x:v>
      </x:c>
      <x:c r="B2123" t="str">
        <x:v>San Miguel Topilejo</x:v>
      </x:c>
      <x:c r="C2123" t="str">
        <x:v>Mujer</x:v>
      </x:c>
      <x:c r="D2123" t="str">
        <x:v>p) 75 a 79 años</x:v>
      </x:c>
      <x:c r="E2123" s="1" t="n">
        <x:v>195</x:v>
      </x:c>
    </x:row>
    <x:row r="2124">
      <x:c r="A2124" t="str">
        <x:v>TLALPAN</x:v>
      </x:c>
      <x:c r="B2124" t="str">
        <x:v>San Miguel Topilejo</x:v>
      </x:c>
      <x:c r="C2124" t="str">
        <x:v>Mujer</x:v>
      </x:c>
      <x:c r="D2124" t="str">
        <x:v>q) 80 a 84 años</x:v>
      </x:c>
      <x:c r="E2124" s="1" t="n">
        <x:v>138</x:v>
      </x:c>
    </x:row>
    <x:row r="2125">
      <x:c r="A2125" t="str">
        <x:v>TLALPAN</x:v>
      </x:c>
      <x:c r="B2125" t="str">
        <x:v>San Miguel Topilejo</x:v>
      </x:c>
      <x:c r="C2125" t="str">
        <x:v>Mujer</x:v>
      </x:c>
      <x:c r="D2125" t="str">
        <x:v>r) 85 años y más</x:v>
      </x:c>
      <x:c r="E2125" s="1" t="n">
        <x:v>117</x:v>
      </x:c>
    </x:row>
    <x:row r="2126">
      <x:c r="A2126" t="str">
        <x:v>TLALPAN</x:v>
      </x:c>
      <x:c r="B2126" t="str">
        <x:v>Héroes de 1910</x:v>
      </x:c>
      <x:c r="C2126" t="str">
        <x:v>Hombre</x:v>
      </x:c>
      <x:c r="D2126" t="str">
        <x:v>a) 0 a 4 años</x:v>
      </x:c>
      <x:c r="E2126" s="1" t="n">
        <x:v>21</x:v>
      </x:c>
    </x:row>
    <x:row r="2127">
      <x:c r="A2127" t="str">
        <x:v>TLALPAN</x:v>
      </x:c>
      <x:c r="B2127" t="str">
        <x:v>Héroes de 1910</x:v>
      </x:c>
      <x:c r="C2127" t="str">
        <x:v>Hombre</x:v>
      </x:c>
      <x:c r="D2127" t="str">
        <x:v>b) 5 a 9 años</x:v>
      </x:c>
      <x:c r="E2127" s="1" t="n">
        <x:v>27</x:v>
      </x:c>
    </x:row>
    <x:row r="2128">
      <x:c r="A2128" t="str">
        <x:v>TLALPAN</x:v>
      </x:c>
      <x:c r="B2128" t="str">
        <x:v>Héroes de 1910</x:v>
      </x:c>
      <x:c r="C2128" t="str">
        <x:v>Hombre</x:v>
      </x:c>
      <x:c r="D2128" t="str">
        <x:v>c) 10 a 14 años</x:v>
      </x:c>
      <x:c r="E2128" s="1" t="n">
        <x:v>32</x:v>
      </x:c>
    </x:row>
    <x:row r="2129">
      <x:c r="A2129" t="str">
        <x:v>TLALPAN</x:v>
      </x:c>
      <x:c r="B2129" t="str">
        <x:v>Héroes de 1910</x:v>
      </x:c>
      <x:c r="C2129" t="str">
        <x:v>Hombre</x:v>
      </x:c>
      <x:c r="D2129" t="str">
        <x:v>d) 15 a 19 años</x:v>
      </x:c>
      <x:c r="E2129" s="1" t="n">
        <x:v>26</x:v>
      </x:c>
    </x:row>
    <x:row r="2130">
      <x:c r="A2130" t="str">
        <x:v>TLALPAN</x:v>
      </x:c>
      <x:c r="B2130" t="str">
        <x:v>Héroes de 1910</x:v>
      </x:c>
      <x:c r="C2130" t="str">
        <x:v>Hombre</x:v>
      </x:c>
      <x:c r="D2130" t="str">
        <x:v>e) 20 a 24 años</x:v>
      </x:c>
      <x:c r="E2130" s="1" t="n">
        <x:v>21</x:v>
      </x:c>
    </x:row>
    <x:row r="2131">
      <x:c r="A2131" t="str">
        <x:v>TLALPAN</x:v>
      </x:c>
      <x:c r="B2131" t="str">
        <x:v>Héroes de 1910</x:v>
      </x:c>
      <x:c r="C2131" t="str">
        <x:v>Hombre</x:v>
      </x:c>
      <x:c r="D2131" t="str">
        <x:v>f) 25 a 29 años</x:v>
      </x:c>
      <x:c r="E2131" s="1" t="n">
        <x:v>21</x:v>
      </x:c>
    </x:row>
    <x:row r="2132">
      <x:c r="A2132" t="str">
        <x:v>TLALPAN</x:v>
      </x:c>
      <x:c r="B2132" t="str">
        <x:v>Héroes de 1910</x:v>
      </x:c>
      <x:c r="C2132" t="str">
        <x:v>Hombre</x:v>
      </x:c>
      <x:c r="D2132" t="str">
        <x:v>g) 30 a 34 años</x:v>
      </x:c>
      <x:c r="E2132" s="1" t="n">
        <x:v>22</x:v>
      </x:c>
    </x:row>
    <x:row r="2133">
      <x:c r="A2133" t="str">
        <x:v>TLALPAN</x:v>
      </x:c>
      <x:c r="B2133" t="str">
        <x:v>Héroes de 1910</x:v>
      </x:c>
      <x:c r="C2133" t="str">
        <x:v>Hombre</x:v>
      </x:c>
      <x:c r="D2133" t="str">
        <x:v>h) 35 a 39 años</x:v>
      </x:c>
      <x:c r="E2133" s="1" t="n">
        <x:v>25</x:v>
      </x:c>
    </x:row>
    <x:row r="2134">
      <x:c r="A2134" t="str">
        <x:v>TLALPAN</x:v>
      </x:c>
      <x:c r="B2134" t="str">
        <x:v>Héroes de 1910</x:v>
      </x:c>
      <x:c r="C2134" t="str">
        <x:v>Hombre</x:v>
      </x:c>
      <x:c r="D2134" t="str">
        <x:v>i) 40 a 44 años</x:v>
      </x:c>
      <x:c r="E2134" s="1" t="n">
        <x:v>21</x:v>
      </x:c>
    </x:row>
    <x:row r="2135">
      <x:c r="A2135" t="str">
        <x:v>TLALPAN</x:v>
      </x:c>
      <x:c r="B2135" t="str">
        <x:v>Héroes de 1910</x:v>
      </x:c>
      <x:c r="C2135" t="str">
        <x:v>Hombre</x:v>
      </x:c>
      <x:c r="D2135" t="str">
        <x:v>j) 45 a 49 años</x:v>
      </x:c>
      <x:c r="E2135" s="1" t="n">
        <x:v>18</x:v>
      </x:c>
    </x:row>
    <x:row r="2136">
      <x:c r="A2136" t="str">
        <x:v>TLALPAN</x:v>
      </x:c>
      <x:c r="B2136" t="str">
        <x:v>Héroes de 1910</x:v>
      </x:c>
      <x:c r="C2136" t="str">
        <x:v>Hombre</x:v>
      </x:c>
      <x:c r="D2136" t="str">
        <x:v>k) 50 a 54 años</x:v>
      </x:c>
      <x:c r="E2136" s="1" t="n">
        <x:v>17</x:v>
      </x:c>
    </x:row>
    <x:row r="2137">
      <x:c r="A2137" t="str">
        <x:v>TLALPAN</x:v>
      </x:c>
      <x:c r="B2137" t="str">
        <x:v>Héroes de 1910</x:v>
      </x:c>
      <x:c r="C2137" t="str">
        <x:v>Hombre</x:v>
      </x:c>
      <x:c r="D2137" t="str">
        <x:v>l) 55 a 59 años</x:v>
      </x:c>
      <x:c r="E2137" s="1" t="n">
        <x:v>14</x:v>
      </x:c>
    </x:row>
    <x:row r="2138">
      <x:c r="A2138" t="str">
        <x:v>TLALPAN</x:v>
      </x:c>
      <x:c r="B2138" t="str">
        <x:v>Héroes de 1910</x:v>
      </x:c>
      <x:c r="C2138" t="str">
        <x:v>Hombre</x:v>
      </x:c>
      <x:c r="D2138" t="str">
        <x:v>m) 60 a 64 años</x:v>
      </x:c>
      <x:c r="E2138" s="1" t="n">
        <x:v>17</x:v>
      </x:c>
    </x:row>
    <x:row r="2139">
      <x:c r="A2139" t="str">
        <x:v>TLALPAN</x:v>
      </x:c>
      <x:c r="B2139" t="str">
        <x:v>Héroes de 1910</x:v>
      </x:c>
      <x:c r="C2139" t="str">
        <x:v>Hombre</x:v>
      </x:c>
      <x:c r="D2139" t="str">
        <x:v>n) 65 a 69 años</x:v>
      </x:c>
      <x:c r="E2139" s="1" t="n">
        <x:v>13</x:v>
      </x:c>
    </x:row>
    <x:row r="2140">
      <x:c r="A2140" t="str">
        <x:v>TLALPAN</x:v>
      </x:c>
      <x:c r="B2140" t="str">
        <x:v>Héroes de 1910</x:v>
      </x:c>
      <x:c r="C2140" t="str">
        <x:v>Hombre</x:v>
      </x:c>
      <x:c r="D2140" t="str">
        <x:v>o) 70 a 74 años</x:v>
      </x:c>
      <x:c r="E2140" s="1" t="n">
        <x:v>3</x:v>
      </x:c>
    </x:row>
    <x:row r="2141">
      <x:c r="A2141" t="str">
        <x:v>TLALPAN</x:v>
      </x:c>
      <x:c r="B2141" t="str">
        <x:v>Héroes de 1910</x:v>
      </x:c>
      <x:c r="C2141" t="str">
        <x:v>Hombre</x:v>
      </x:c>
      <x:c r="D2141" t="str">
        <x:v>p) 75 a 79 años</x:v>
      </x:c>
      <x:c r="E2141" s="1" t="n">
        <x:v>5</x:v>
      </x:c>
    </x:row>
    <x:row r="2142">
      <x:c r="A2142" t="str">
        <x:v>TLALPAN</x:v>
      </x:c>
      <x:c r="B2142" t="str">
        <x:v>Héroes de 1910</x:v>
      </x:c>
      <x:c r="C2142" t="str">
        <x:v>Hombre</x:v>
      </x:c>
      <x:c r="D2142" t="str">
        <x:v>q) 80 a 84 años</x:v>
      </x:c>
      <x:c r="E2142" s="1" t="n">
        <x:v>0</x:v>
      </x:c>
    </x:row>
    <x:row r="2143">
      <x:c r="A2143" t="str">
        <x:v>TLALPAN</x:v>
      </x:c>
      <x:c r="B2143" t="str">
        <x:v>Héroes de 1910</x:v>
      </x:c>
      <x:c r="C2143" t="str">
        <x:v>Hombre</x:v>
      </x:c>
      <x:c r="D2143" t="str">
        <x:v>r) 85 años y más</x:v>
      </x:c>
      <x:c r="E2143" s="1" t="n">
        <x:v>2</x:v>
      </x:c>
    </x:row>
    <x:row r="2144">
      <x:c r="A2144" t="str">
        <x:v>TLALPAN</x:v>
      </x:c>
      <x:c r="B2144" t="str">
        <x:v>Héroes de 1910</x:v>
      </x:c>
      <x:c r="C2144" t="str">
        <x:v>Mujer</x:v>
      </x:c>
      <x:c r="D2144" t="str">
        <x:v>a) 0 a 4 años</x:v>
      </x:c>
      <x:c r="E2144" s="1" t="n">
        <x:v>15</x:v>
      </x:c>
    </x:row>
    <x:row r="2145">
      <x:c r="A2145" t="str">
        <x:v>TLALPAN</x:v>
      </x:c>
      <x:c r="B2145" t="str">
        <x:v>Héroes de 1910</x:v>
      </x:c>
      <x:c r="C2145" t="str">
        <x:v>Mujer</x:v>
      </x:c>
      <x:c r="D2145" t="str">
        <x:v>b) 5 a 9 años</x:v>
      </x:c>
      <x:c r="E2145" s="1" t="n">
        <x:v>15</x:v>
      </x:c>
    </x:row>
    <x:row r="2146">
      <x:c r="A2146" t="str">
        <x:v>TLALPAN</x:v>
      </x:c>
      <x:c r="B2146" t="str">
        <x:v>Héroes de 1910</x:v>
      </x:c>
      <x:c r="C2146" t="str">
        <x:v>Mujer</x:v>
      </x:c>
      <x:c r="D2146" t="str">
        <x:v>c) 10 a 14 años</x:v>
      </x:c>
      <x:c r="E2146" s="1" t="n">
        <x:v>21</x:v>
      </x:c>
    </x:row>
    <x:row r="2147">
      <x:c r="A2147" t="str">
        <x:v>TLALPAN</x:v>
      </x:c>
      <x:c r="B2147" t="str">
        <x:v>Héroes de 1910</x:v>
      </x:c>
      <x:c r="C2147" t="str">
        <x:v>Mujer</x:v>
      </x:c>
      <x:c r="D2147" t="str">
        <x:v>d) 15 a 19 años</x:v>
      </x:c>
      <x:c r="E2147" s="1" t="n">
        <x:v>16</x:v>
      </x:c>
    </x:row>
    <x:row r="2148">
      <x:c r="A2148" t="str">
        <x:v>TLALPAN</x:v>
      </x:c>
      <x:c r="B2148" t="str">
        <x:v>Héroes de 1910</x:v>
      </x:c>
      <x:c r="C2148" t="str">
        <x:v>Mujer</x:v>
      </x:c>
      <x:c r="D2148" t="str">
        <x:v>e) 20 a 24 años</x:v>
      </x:c>
      <x:c r="E2148" s="1" t="n">
        <x:v>18</x:v>
      </x:c>
    </x:row>
    <x:row r="2149">
      <x:c r="A2149" t="str">
        <x:v>TLALPAN</x:v>
      </x:c>
      <x:c r="B2149" t="str">
        <x:v>Héroes de 1910</x:v>
      </x:c>
      <x:c r="C2149" t="str">
        <x:v>Mujer</x:v>
      </x:c>
      <x:c r="D2149" t="str">
        <x:v>f) 25 a 29 años</x:v>
      </x:c>
      <x:c r="E2149" s="1" t="n">
        <x:v>24</x:v>
      </x:c>
    </x:row>
    <x:row r="2150">
      <x:c r="A2150" t="str">
        <x:v>TLALPAN</x:v>
      </x:c>
      <x:c r="B2150" t="str">
        <x:v>Héroes de 1910</x:v>
      </x:c>
      <x:c r="C2150" t="str">
        <x:v>Mujer</x:v>
      </x:c>
      <x:c r="D2150" t="str">
        <x:v>g) 30 a 34 años</x:v>
      </x:c>
      <x:c r="E2150" s="1" t="n">
        <x:v>16</x:v>
      </x:c>
    </x:row>
    <x:row r="2151">
      <x:c r="A2151" t="str">
        <x:v>TLALPAN</x:v>
      </x:c>
      <x:c r="B2151" t="str">
        <x:v>Héroes de 1910</x:v>
      </x:c>
      <x:c r="C2151" t="str">
        <x:v>Mujer</x:v>
      </x:c>
      <x:c r="D2151" t="str">
        <x:v>h) 35 a 39 años</x:v>
      </x:c>
      <x:c r="E2151" s="1" t="n">
        <x:v>21</x:v>
      </x:c>
    </x:row>
    <x:row r="2152">
      <x:c r="A2152" t="str">
        <x:v>TLALPAN</x:v>
      </x:c>
      <x:c r="B2152" t="str">
        <x:v>Héroes de 1910</x:v>
      </x:c>
      <x:c r="C2152" t="str">
        <x:v>Mujer</x:v>
      </x:c>
      <x:c r="D2152" t="str">
        <x:v>i) 40 a 44 años</x:v>
      </x:c>
      <x:c r="E2152" s="1" t="n">
        <x:v>34</x:v>
      </x:c>
    </x:row>
    <x:row r="2153">
      <x:c r="A2153" t="str">
        <x:v>TLALPAN</x:v>
      </x:c>
      <x:c r="B2153" t="str">
        <x:v>Héroes de 1910</x:v>
      </x:c>
      <x:c r="C2153" t="str">
        <x:v>Mujer</x:v>
      </x:c>
      <x:c r="D2153" t="str">
        <x:v>j) 45 a 49 años</x:v>
      </x:c>
      <x:c r="E2153" s="1" t="n">
        <x:v>23</x:v>
      </x:c>
    </x:row>
    <x:row r="2154">
      <x:c r="A2154" t="str">
        <x:v>TLALPAN</x:v>
      </x:c>
      <x:c r="B2154" t="str">
        <x:v>Héroes de 1910</x:v>
      </x:c>
      <x:c r="C2154" t="str">
        <x:v>Mujer</x:v>
      </x:c>
      <x:c r="D2154" t="str">
        <x:v>k) 50 a 54 años</x:v>
      </x:c>
      <x:c r="E2154" s="1" t="n">
        <x:v>10</x:v>
      </x:c>
    </x:row>
    <x:row r="2155">
      <x:c r="A2155" t="str">
        <x:v>TLALPAN</x:v>
      </x:c>
      <x:c r="B2155" t="str">
        <x:v>Héroes de 1910</x:v>
      </x:c>
      <x:c r="C2155" t="str">
        <x:v>Mujer</x:v>
      </x:c>
      <x:c r="D2155" t="str">
        <x:v>l) 55 a 59 años</x:v>
      </x:c>
      <x:c r="E2155" s="1" t="n">
        <x:v>17</x:v>
      </x:c>
    </x:row>
    <x:row r="2156">
      <x:c r="A2156" t="str">
        <x:v>TLALPAN</x:v>
      </x:c>
      <x:c r="B2156" t="str">
        <x:v>Héroes de 1910</x:v>
      </x:c>
      <x:c r="C2156" t="str">
        <x:v>Mujer</x:v>
      </x:c>
      <x:c r="D2156" t="str">
        <x:v>m) 60 a 64 años</x:v>
      </x:c>
      <x:c r="E2156" s="1" t="n">
        <x:v>11</x:v>
      </x:c>
    </x:row>
    <x:row r="2157">
      <x:c r="A2157" t="str">
        <x:v>TLALPAN</x:v>
      </x:c>
      <x:c r="B2157" t="str">
        <x:v>Héroes de 1910</x:v>
      </x:c>
      <x:c r="C2157" t="str">
        <x:v>Mujer</x:v>
      </x:c>
      <x:c r="D2157" t="str">
        <x:v>n) 65 a 69 años</x:v>
      </x:c>
      <x:c r="E2157" s="1" t="n">
        <x:v>10</x:v>
      </x:c>
    </x:row>
    <x:row r="2158">
      <x:c r="A2158" t="str">
        <x:v>TLALPAN</x:v>
      </x:c>
      <x:c r="B2158" t="str">
        <x:v>Héroes de 1910</x:v>
      </x:c>
      <x:c r="C2158" t="str">
        <x:v>Mujer</x:v>
      </x:c>
      <x:c r="D2158" t="str">
        <x:v>o) 70 a 74 años</x:v>
      </x:c>
      <x:c r="E2158" s="1" t="n">
        <x:v>3</x:v>
      </x:c>
    </x:row>
    <x:row r="2159">
      <x:c r="A2159" t="str">
        <x:v>TLALPAN</x:v>
      </x:c>
      <x:c r="B2159" t="str">
        <x:v>Héroes de 1910</x:v>
      </x:c>
      <x:c r="C2159" t="str">
        <x:v>Mujer</x:v>
      </x:c>
      <x:c r="D2159" t="str">
        <x:v>p) 75 a 79 años</x:v>
      </x:c>
      <x:c r="E2159" s="1" t="n">
        <x:v>4</x:v>
      </x:c>
    </x:row>
    <x:row r="2160">
      <x:c r="A2160" t="str">
        <x:v>TLALPAN</x:v>
      </x:c>
      <x:c r="B2160" t="str">
        <x:v>Héroes de 1910</x:v>
      </x:c>
      <x:c r="C2160" t="str">
        <x:v>Mujer</x:v>
      </x:c>
      <x:c r="D2160" t="str">
        <x:v>q) 80 a 84 años</x:v>
      </x:c>
      <x:c r="E2160" s="1" t="n">
        <x:v>3</x:v>
      </x:c>
    </x:row>
    <x:row r="2161">
      <x:c r="A2161" t="str">
        <x:v>TLALPAN</x:v>
      </x:c>
      <x:c r="B2161" t="str">
        <x:v>Héroes de 1910</x:v>
      </x:c>
      <x:c r="C2161" t="str">
        <x:v>Mujer</x:v>
      </x:c>
      <x:c r="D2161" t="str">
        <x:v>r) 85 años y más</x:v>
      </x:c>
      <x:c r="E2161" s="1" t="n">
        <x:v>5</x:v>
      </x:c>
    </x:row>
    <x:row r="2162">
      <x:c r="A2162" t="str">
        <x:v>TLALPAN</x:v>
      </x:c>
      <x:c r="B2162" t="str">
        <x:v>Lomas de Tepemecatl</x:v>
      </x:c>
      <x:c r="C2162" t="str">
        <x:v>Hombre</x:v>
      </x:c>
      <x:c r="D2162" t="str">
        <x:v>a) 0 a 4 años</x:v>
      </x:c>
      <x:c r="E2162" s="1" t="n">
        <x:v>165</x:v>
      </x:c>
    </x:row>
    <x:row r="2163">
      <x:c r="A2163" t="str">
        <x:v>TLALPAN</x:v>
      </x:c>
      <x:c r="B2163" t="str">
        <x:v>Lomas de Tepemecatl</x:v>
      </x:c>
      <x:c r="C2163" t="str">
        <x:v>Hombre</x:v>
      </x:c>
      <x:c r="D2163" t="str">
        <x:v>b) 5 a 9 años</x:v>
      </x:c>
      <x:c r="E2163" s="1" t="n">
        <x:v>205</x:v>
      </x:c>
    </x:row>
    <x:row r="2164">
      <x:c r="A2164" t="str">
        <x:v>TLALPAN</x:v>
      </x:c>
      <x:c r="B2164" t="str">
        <x:v>Lomas de Tepemecatl</x:v>
      </x:c>
      <x:c r="C2164" t="str">
        <x:v>Hombre</x:v>
      </x:c>
      <x:c r="D2164" t="str">
        <x:v>c) 10 a 14 años</x:v>
      </x:c>
      <x:c r="E2164" s="1" t="n">
        <x:v>215</x:v>
      </x:c>
    </x:row>
    <x:row r="2165">
      <x:c r="A2165" t="str">
        <x:v>TLALPAN</x:v>
      </x:c>
      <x:c r="B2165" t="str">
        <x:v>Lomas de Tepemecatl</x:v>
      </x:c>
      <x:c r="C2165" t="str">
        <x:v>Hombre</x:v>
      </x:c>
      <x:c r="D2165" t="str">
        <x:v>d) 15 a 19 años</x:v>
      </x:c>
      <x:c r="E2165" s="1" t="n">
        <x:v>185</x:v>
      </x:c>
    </x:row>
    <x:row r="2166">
      <x:c r="A2166" t="str">
        <x:v>TLALPAN</x:v>
      </x:c>
      <x:c r="B2166" t="str">
        <x:v>Lomas de Tepemecatl</x:v>
      </x:c>
      <x:c r="C2166" t="str">
        <x:v>Hombre</x:v>
      </x:c>
      <x:c r="D2166" t="str">
        <x:v>e) 20 a 24 años</x:v>
      </x:c>
      <x:c r="E2166" s="1" t="n">
        <x:v>158</x:v>
      </x:c>
    </x:row>
    <x:row r="2167">
      <x:c r="A2167" t="str">
        <x:v>TLALPAN</x:v>
      </x:c>
      <x:c r="B2167" t="str">
        <x:v>Lomas de Tepemecatl</x:v>
      </x:c>
      <x:c r="C2167" t="str">
        <x:v>Hombre</x:v>
      </x:c>
      <x:c r="D2167" t="str">
        <x:v>f) 25 a 29 años</x:v>
      </x:c>
      <x:c r="E2167" s="1" t="n">
        <x:v>173</x:v>
      </x:c>
    </x:row>
    <x:row r="2168">
      <x:c r="A2168" t="str">
        <x:v>TLALPAN</x:v>
      </x:c>
      <x:c r="B2168" t="str">
        <x:v>Lomas de Tepemecatl</x:v>
      </x:c>
      <x:c r="C2168" t="str">
        <x:v>Hombre</x:v>
      </x:c>
      <x:c r="D2168" t="str">
        <x:v>g) 30 a 34 años</x:v>
      </x:c>
      <x:c r="E2168" s="1" t="n">
        <x:v>165</x:v>
      </x:c>
    </x:row>
    <x:row r="2169">
      <x:c r="A2169" t="str">
        <x:v>TLALPAN</x:v>
      </x:c>
      <x:c r="B2169" t="str">
        <x:v>Lomas de Tepemecatl</x:v>
      </x:c>
      <x:c r="C2169" t="str">
        <x:v>Hombre</x:v>
      </x:c>
      <x:c r="D2169" t="str">
        <x:v>h) 35 a 39 años</x:v>
      </x:c>
      <x:c r="E2169" s="1" t="n">
        <x:v>164</x:v>
      </x:c>
    </x:row>
    <x:row r="2170">
      <x:c r="A2170" t="str">
        <x:v>TLALPAN</x:v>
      </x:c>
      <x:c r="B2170" t="str">
        <x:v>Lomas de Tepemecatl</x:v>
      </x:c>
      <x:c r="C2170" t="str">
        <x:v>Hombre</x:v>
      </x:c>
      <x:c r="D2170" t="str">
        <x:v>i) 40 a 44 años</x:v>
      </x:c>
      <x:c r="E2170" s="1" t="n">
        <x:v>160</x:v>
      </x:c>
    </x:row>
    <x:row r="2171">
      <x:c r="A2171" t="str">
        <x:v>TLALPAN</x:v>
      </x:c>
      <x:c r="B2171" t="str">
        <x:v>Lomas de Tepemecatl</x:v>
      </x:c>
      <x:c r="C2171" t="str">
        <x:v>Hombre</x:v>
      </x:c>
      <x:c r="D2171" t="str">
        <x:v>j) 45 a 49 años</x:v>
      </x:c>
      <x:c r="E2171" s="1" t="n">
        <x:v>156</x:v>
      </x:c>
    </x:row>
    <x:row r="2172">
      <x:c r="A2172" t="str">
        <x:v>TLALPAN</x:v>
      </x:c>
      <x:c r="B2172" t="str">
        <x:v>Lomas de Tepemecatl</x:v>
      </x:c>
      <x:c r="C2172" t="str">
        <x:v>Hombre</x:v>
      </x:c>
      <x:c r="D2172" t="str">
        <x:v>k) 50 a 54 años</x:v>
      </x:c>
      <x:c r="E2172" s="1" t="n">
        <x:v>88</x:v>
      </x:c>
    </x:row>
    <x:row r="2173">
      <x:c r="A2173" t="str">
        <x:v>TLALPAN</x:v>
      </x:c>
      <x:c r="B2173" t="str">
        <x:v>Lomas de Tepemecatl</x:v>
      </x:c>
      <x:c r="C2173" t="str">
        <x:v>Hombre</x:v>
      </x:c>
      <x:c r="D2173" t="str">
        <x:v>l) 55 a 59 años</x:v>
      </x:c>
      <x:c r="E2173" s="1" t="n">
        <x:v>65</x:v>
      </x:c>
    </x:row>
    <x:row r="2174">
      <x:c r="A2174" t="str">
        <x:v>TLALPAN</x:v>
      </x:c>
      <x:c r="B2174" t="str">
        <x:v>Lomas de Tepemecatl</x:v>
      </x:c>
      <x:c r="C2174" t="str">
        <x:v>Hombre</x:v>
      </x:c>
      <x:c r="D2174" t="str">
        <x:v>m) 60 a 64 años</x:v>
      </x:c>
      <x:c r="E2174" s="1" t="n">
        <x:v>58</x:v>
      </x:c>
    </x:row>
    <x:row r="2175">
      <x:c r="A2175" t="str">
        <x:v>TLALPAN</x:v>
      </x:c>
      <x:c r="B2175" t="str">
        <x:v>Lomas de Tepemecatl</x:v>
      </x:c>
      <x:c r="C2175" t="str">
        <x:v>Hombre</x:v>
      </x:c>
      <x:c r="D2175" t="str">
        <x:v>n) 65 a 69 años</x:v>
      </x:c>
      <x:c r="E2175" s="1" t="n">
        <x:v>34</x:v>
      </x:c>
    </x:row>
    <x:row r="2176">
      <x:c r="A2176" t="str">
        <x:v>TLALPAN</x:v>
      </x:c>
      <x:c r="B2176" t="str">
        <x:v>Lomas de Tepemecatl</x:v>
      </x:c>
      <x:c r="C2176" t="str">
        <x:v>Hombre</x:v>
      </x:c>
      <x:c r="D2176" t="str">
        <x:v>o) 70 a 74 años</x:v>
      </x:c>
      <x:c r="E2176" s="1" t="n">
        <x:v>16</x:v>
      </x:c>
    </x:row>
    <x:row r="2177">
      <x:c r="A2177" t="str">
        <x:v>TLALPAN</x:v>
      </x:c>
      <x:c r="B2177" t="str">
        <x:v>Lomas de Tepemecatl</x:v>
      </x:c>
      <x:c r="C2177" t="str">
        <x:v>Hombre</x:v>
      </x:c>
      <x:c r="D2177" t="str">
        <x:v>p) 75 a 79 años</x:v>
      </x:c>
      <x:c r="E2177" s="1" t="n">
        <x:v>16</x:v>
      </x:c>
    </x:row>
    <x:row r="2178">
      <x:c r="A2178" t="str">
        <x:v>TLALPAN</x:v>
      </x:c>
      <x:c r="B2178" t="str">
        <x:v>Lomas de Tepemecatl</x:v>
      </x:c>
      <x:c r="C2178" t="str">
        <x:v>Hombre</x:v>
      </x:c>
      <x:c r="D2178" t="str">
        <x:v>q) 80 a 84 años</x:v>
      </x:c>
      <x:c r="E2178" s="1" t="n">
        <x:v>3</x:v>
      </x:c>
    </x:row>
    <x:row r="2179">
      <x:c r="A2179" t="str">
        <x:v>TLALPAN</x:v>
      </x:c>
      <x:c r="B2179" t="str">
        <x:v>Lomas de Tepemecatl</x:v>
      </x:c>
      <x:c r="C2179" t="str">
        <x:v>Hombre</x:v>
      </x:c>
      <x:c r="D2179" t="str">
        <x:v>r) 85 años y más</x:v>
      </x:c>
      <x:c r="E2179" s="1" t="n">
        <x:v>2</x:v>
      </x:c>
    </x:row>
    <x:row r="2180">
      <x:c r="A2180" t="str">
        <x:v>TLALPAN</x:v>
      </x:c>
      <x:c r="B2180" t="str">
        <x:v>Lomas de Tepemecatl</x:v>
      </x:c>
      <x:c r="C2180" t="str">
        <x:v>Mujer</x:v>
      </x:c>
      <x:c r="D2180" t="str">
        <x:v>a) 0 a 4 años</x:v>
      </x:c>
      <x:c r="E2180" s="1" t="n">
        <x:v>172</x:v>
      </x:c>
    </x:row>
    <x:row r="2181">
      <x:c r="A2181" t="str">
        <x:v>TLALPAN</x:v>
      </x:c>
      <x:c r="B2181" t="str">
        <x:v>Lomas de Tepemecatl</x:v>
      </x:c>
      <x:c r="C2181" t="str">
        <x:v>Mujer</x:v>
      </x:c>
      <x:c r="D2181" t="str">
        <x:v>b) 5 a 9 años</x:v>
      </x:c>
      <x:c r="E2181" s="1" t="n">
        <x:v>209</x:v>
      </x:c>
    </x:row>
    <x:row r="2182">
      <x:c r="A2182" t="str">
        <x:v>TLALPAN</x:v>
      </x:c>
      <x:c r="B2182" t="str">
        <x:v>Lomas de Tepemecatl</x:v>
      </x:c>
      <x:c r="C2182" t="str">
        <x:v>Mujer</x:v>
      </x:c>
      <x:c r="D2182" t="str">
        <x:v>c) 10 a 14 años</x:v>
      </x:c>
      <x:c r="E2182" s="1" t="n">
        <x:v>199</x:v>
      </x:c>
    </x:row>
    <x:row r="2183">
      <x:c r="A2183" t="str">
        <x:v>TLALPAN</x:v>
      </x:c>
      <x:c r="B2183" t="str">
        <x:v>Lomas de Tepemecatl</x:v>
      </x:c>
      <x:c r="C2183" t="str">
        <x:v>Mujer</x:v>
      </x:c>
      <x:c r="D2183" t="str">
        <x:v>d) 15 a 19 años</x:v>
      </x:c>
      <x:c r="E2183" s="1" t="n">
        <x:v>182</x:v>
      </x:c>
    </x:row>
    <x:row r="2184">
      <x:c r="A2184" t="str">
        <x:v>TLALPAN</x:v>
      </x:c>
      <x:c r="B2184" t="str">
        <x:v>Lomas de Tepemecatl</x:v>
      </x:c>
      <x:c r="C2184" t="str">
        <x:v>Mujer</x:v>
      </x:c>
      <x:c r="D2184" t="str">
        <x:v>e) 20 a 24 años</x:v>
      </x:c>
      <x:c r="E2184" s="1" t="n">
        <x:v>195</x:v>
      </x:c>
    </x:row>
    <x:row r="2185">
      <x:c r="A2185" t="str">
        <x:v>TLALPAN</x:v>
      </x:c>
      <x:c r="B2185" t="str">
        <x:v>Lomas de Tepemecatl</x:v>
      </x:c>
      <x:c r="C2185" t="str">
        <x:v>Mujer</x:v>
      </x:c>
      <x:c r="D2185" t="str">
        <x:v>f) 25 a 29 años</x:v>
      </x:c>
      <x:c r="E2185" s="1" t="n">
        <x:v>172</x:v>
      </x:c>
    </x:row>
    <x:row r="2186">
      <x:c r="A2186" t="str">
        <x:v>TLALPAN</x:v>
      </x:c>
      <x:c r="B2186" t="str">
        <x:v>Lomas de Tepemecatl</x:v>
      </x:c>
      <x:c r="C2186" t="str">
        <x:v>Mujer</x:v>
      </x:c>
      <x:c r="D2186" t="str">
        <x:v>g) 30 a 34 años</x:v>
      </x:c>
      <x:c r="E2186" s="1" t="n">
        <x:v>161</x:v>
      </x:c>
    </x:row>
    <x:row r="2187">
      <x:c r="A2187" t="str">
        <x:v>TLALPAN</x:v>
      </x:c>
      <x:c r="B2187" t="str">
        <x:v>Lomas de Tepemecatl</x:v>
      </x:c>
      <x:c r="C2187" t="str">
        <x:v>Mujer</x:v>
      </x:c>
      <x:c r="D2187" t="str">
        <x:v>h) 35 a 39 años</x:v>
      </x:c>
      <x:c r="E2187" s="1" t="n">
        <x:v>174</x:v>
      </x:c>
    </x:row>
    <x:row r="2188">
      <x:c r="A2188" t="str">
        <x:v>TLALPAN</x:v>
      </x:c>
      <x:c r="B2188" t="str">
        <x:v>Lomas de Tepemecatl</x:v>
      </x:c>
      <x:c r="C2188" t="str">
        <x:v>Mujer</x:v>
      </x:c>
      <x:c r="D2188" t="str">
        <x:v>i) 40 a 44 años</x:v>
      </x:c>
      <x:c r="E2188" s="1" t="n">
        <x:v>155</x:v>
      </x:c>
    </x:row>
    <x:row r="2189">
      <x:c r="A2189" t="str">
        <x:v>TLALPAN</x:v>
      </x:c>
      <x:c r="B2189" t="str">
        <x:v>Lomas de Tepemecatl</x:v>
      </x:c>
      <x:c r="C2189" t="str">
        <x:v>Mujer</x:v>
      </x:c>
      <x:c r="D2189" t="str">
        <x:v>j) 45 a 49 años</x:v>
      </x:c>
      <x:c r="E2189" s="1" t="n">
        <x:v>120</x:v>
      </x:c>
    </x:row>
    <x:row r="2190">
      <x:c r="A2190" t="str">
        <x:v>TLALPAN</x:v>
      </x:c>
      <x:c r="B2190" t="str">
        <x:v>Lomas de Tepemecatl</x:v>
      </x:c>
      <x:c r="C2190" t="str">
        <x:v>Mujer</x:v>
      </x:c>
      <x:c r="D2190" t="str">
        <x:v>k) 50 a 54 años</x:v>
      </x:c>
      <x:c r="E2190" s="1" t="n">
        <x:v>101</x:v>
      </x:c>
    </x:row>
    <x:row r="2191">
      <x:c r="A2191" t="str">
        <x:v>TLALPAN</x:v>
      </x:c>
      <x:c r="B2191" t="str">
        <x:v>Lomas de Tepemecatl</x:v>
      </x:c>
      <x:c r="C2191" t="str">
        <x:v>Mujer</x:v>
      </x:c>
      <x:c r="D2191" t="str">
        <x:v>l) 55 a 59 años</x:v>
      </x:c>
      <x:c r="E2191" s="1" t="n">
        <x:v>86</x:v>
      </x:c>
    </x:row>
    <x:row r="2192">
      <x:c r="A2192" t="str">
        <x:v>TLALPAN</x:v>
      </x:c>
      <x:c r="B2192" t="str">
        <x:v>Lomas de Tepemecatl</x:v>
      </x:c>
      <x:c r="C2192" t="str">
        <x:v>Mujer</x:v>
      </x:c>
      <x:c r="D2192" t="str">
        <x:v>m) 60 a 64 años</x:v>
      </x:c>
      <x:c r="E2192" s="1" t="n">
        <x:v>48</x:v>
      </x:c>
    </x:row>
    <x:row r="2193">
      <x:c r="A2193" t="str">
        <x:v>TLALPAN</x:v>
      </x:c>
      <x:c r="B2193" t="str">
        <x:v>Lomas de Tepemecatl</x:v>
      </x:c>
      <x:c r="C2193" t="str">
        <x:v>Mujer</x:v>
      </x:c>
      <x:c r="D2193" t="str">
        <x:v>n) 65 a 69 años</x:v>
      </x:c>
      <x:c r="E2193" s="1" t="n">
        <x:v>21</x:v>
      </x:c>
    </x:row>
    <x:row r="2194">
      <x:c r="A2194" t="str">
        <x:v>TLALPAN</x:v>
      </x:c>
      <x:c r="B2194" t="str">
        <x:v>Lomas de Tepemecatl</x:v>
      </x:c>
      <x:c r="C2194" t="str">
        <x:v>Mujer</x:v>
      </x:c>
      <x:c r="D2194" t="str">
        <x:v>o) 70 a 74 años</x:v>
      </x:c>
      <x:c r="E2194" s="1" t="n">
        <x:v>14</x:v>
      </x:c>
    </x:row>
    <x:row r="2195">
      <x:c r="A2195" t="str">
        <x:v>TLALPAN</x:v>
      </x:c>
      <x:c r="B2195" t="str">
        <x:v>Lomas de Tepemecatl</x:v>
      </x:c>
      <x:c r="C2195" t="str">
        <x:v>Mujer</x:v>
      </x:c>
      <x:c r="D2195" t="str">
        <x:v>p) 75 a 79 años</x:v>
      </x:c>
      <x:c r="E2195" s="1" t="n">
        <x:v>13</x:v>
      </x:c>
    </x:row>
    <x:row r="2196">
      <x:c r="A2196" t="str">
        <x:v>TLALPAN</x:v>
      </x:c>
      <x:c r="B2196" t="str">
        <x:v>Lomas de Tepemecatl</x:v>
      </x:c>
      <x:c r="C2196" t="str">
        <x:v>Mujer</x:v>
      </x:c>
      <x:c r="D2196" t="str">
        <x:v>q) 80 a 84 años</x:v>
      </x:c>
      <x:c r="E2196" s="1" t="n">
        <x:v>3</x:v>
      </x:c>
    </x:row>
    <x:row r="2197">
      <x:c r="A2197" t="str">
        <x:v>TLALPAN</x:v>
      </x:c>
      <x:c r="B2197" t="str">
        <x:v>Lomas de Tepemecatl</x:v>
      </x:c>
      <x:c r="C2197" t="str">
        <x:v>Mujer</x:v>
      </x:c>
      <x:c r="D2197" t="str">
        <x:v>r) 85 años y más</x:v>
      </x:c>
      <x:c r="E2197" s="1" t="n">
        <x:v>3</x:v>
      </x:c>
    </x:row>
    <x:row r="2198">
      <x:c r="A2198" t="str">
        <x:v>TLALPAN</x:v>
      </x:c>
      <x:c r="B2198" t="str">
        <x:v>El Pedregal</x:v>
      </x:c>
      <x:c r="C2198" t="str">
        <x:v>Hombre</x:v>
      </x:c>
      <x:c r="D2198" t="str">
        <x:v>a) 0 a 4 años</x:v>
      </x:c>
      <x:c r="E2198" s="1" t="n">
        <x:v>37</x:v>
      </x:c>
    </x:row>
    <x:row r="2199">
      <x:c r="A2199" t="str">
        <x:v>TLALPAN</x:v>
      </x:c>
      <x:c r="B2199" t="str">
        <x:v>El Pedregal</x:v>
      </x:c>
      <x:c r="C2199" t="str">
        <x:v>Hombre</x:v>
      </x:c>
      <x:c r="D2199" t="str">
        <x:v>b) 5 a 9 años</x:v>
      </x:c>
      <x:c r="E2199" s="1" t="n">
        <x:v>54</x:v>
      </x:c>
    </x:row>
    <x:row r="2200">
      <x:c r="A2200" t="str">
        <x:v>TLALPAN</x:v>
      </x:c>
      <x:c r="B2200" t="str">
        <x:v>El Pedregal</x:v>
      </x:c>
      <x:c r="C2200" t="str">
        <x:v>Hombre</x:v>
      </x:c>
      <x:c r="D2200" t="str">
        <x:v>c) 10 a 14 años</x:v>
      </x:c>
      <x:c r="E2200" s="1" t="n">
        <x:v>40</x:v>
      </x:c>
    </x:row>
    <x:row r="2201">
      <x:c r="A2201" t="str">
        <x:v>TLALPAN</x:v>
      </x:c>
      <x:c r="B2201" t="str">
        <x:v>El Pedregal</x:v>
      </x:c>
      <x:c r="C2201" t="str">
        <x:v>Hombre</x:v>
      </x:c>
      <x:c r="D2201" t="str">
        <x:v>d) 15 a 19 años</x:v>
      </x:c>
      <x:c r="E2201" s="1" t="n">
        <x:v>32</x:v>
      </x:c>
    </x:row>
    <x:row r="2202">
      <x:c r="A2202" t="str">
        <x:v>TLALPAN</x:v>
      </x:c>
      <x:c r="B2202" t="str">
        <x:v>El Pedregal</x:v>
      </x:c>
      <x:c r="C2202" t="str">
        <x:v>Hombre</x:v>
      </x:c>
      <x:c r="D2202" t="str">
        <x:v>e) 20 a 24 años</x:v>
      </x:c>
      <x:c r="E2202" s="1" t="n">
        <x:v>39</x:v>
      </x:c>
    </x:row>
    <x:row r="2203">
      <x:c r="A2203" t="str">
        <x:v>TLALPAN</x:v>
      </x:c>
      <x:c r="B2203" t="str">
        <x:v>El Pedregal</x:v>
      </x:c>
      <x:c r="C2203" t="str">
        <x:v>Hombre</x:v>
      </x:c>
      <x:c r="D2203" t="str">
        <x:v>f) 25 a 29 años</x:v>
      </x:c>
      <x:c r="E2203" s="1" t="n">
        <x:v>29</x:v>
      </x:c>
    </x:row>
    <x:row r="2204">
      <x:c r="A2204" t="str">
        <x:v>TLALPAN</x:v>
      </x:c>
      <x:c r="B2204" t="str">
        <x:v>El Pedregal</x:v>
      </x:c>
      <x:c r="C2204" t="str">
        <x:v>Hombre</x:v>
      </x:c>
      <x:c r="D2204" t="str">
        <x:v>g) 30 a 34 años</x:v>
      </x:c>
      <x:c r="E2204" s="1" t="n">
        <x:v>39</x:v>
      </x:c>
    </x:row>
    <x:row r="2205">
      <x:c r="A2205" t="str">
        <x:v>TLALPAN</x:v>
      </x:c>
      <x:c r="B2205" t="str">
        <x:v>El Pedregal</x:v>
      </x:c>
      <x:c r="C2205" t="str">
        <x:v>Hombre</x:v>
      </x:c>
      <x:c r="D2205" t="str">
        <x:v>h) 35 a 39 años</x:v>
      </x:c>
      <x:c r="E2205" s="1" t="n">
        <x:v>30</x:v>
      </x:c>
    </x:row>
    <x:row r="2206">
      <x:c r="A2206" t="str">
        <x:v>TLALPAN</x:v>
      </x:c>
      <x:c r="B2206" t="str">
        <x:v>El Pedregal</x:v>
      </x:c>
      <x:c r="C2206" t="str">
        <x:v>Hombre</x:v>
      </x:c>
      <x:c r="D2206" t="str">
        <x:v>i) 40 a 44 años</x:v>
      </x:c>
      <x:c r="E2206" s="1" t="n">
        <x:v>34</x:v>
      </x:c>
    </x:row>
    <x:row r="2207">
      <x:c r="A2207" t="str">
        <x:v>TLALPAN</x:v>
      </x:c>
      <x:c r="B2207" t="str">
        <x:v>El Pedregal</x:v>
      </x:c>
      <x:c r="C2207" t="str">
        <x:v>Hombre</x:v>
      </x:c>
      <x:c r="D2207" t="str">
        <x:v>j) 45 a 49 años</x:v>
      </x:c>
      <x:c r="E2207" s="1" t="n">
        <x:v>27</x:v>
      </x:c>
    </x:row>
    <x:row r="2208">
      <x:c r="A2208" t="str">
        <x:v>TLALPAN</x:v>
      </x:c>
      <x:c r="B2208" t="str">
        <x:v>El Pedregal</x:v>
      </x:c>
      <x:c r="C2208" t="str">
        <x:v>Hombre</x:v>
      </x:c>
      <x:c r="D2208" t="str">
        <x:v>k) 50 a 54 años</x:v>
      </x:c>
      <x:c r="E2208" s="1" t="n">
        <x:v>19</x:v>
      </x:c>
    </x:row>
    <x:row r="2209">
      <x:c r="A2209" t="str">
        <x:v>TLALPAN</x:v>
      </x:c>
      <x:c r="B2209" t="str">
        <x:v>El Pedregal</x:v>
      </x:c>
      <x:c r="C2209" t="str">
        <x:v>Hombre</x:v>
      </x:c>
      <x:c r="D2209" t="str">
        <x:v>l) 55 a 59 años</x:v>
      </x:c>
      <x:c r="E2209" s="1" t="n">
        <x:v>7</x:v>
      </x:c>
    </x:row>
    <x:row r="2210">
      <x:c r="A2210" t="str">
        <x:v>TLALPAN</x:v>
      </x:c>
      <x:c r="B2210" t="str">
        <x:v>El Pedregal</x:v>
      </x:c>
      <x:c r="C2210" t="str">
        <x:v>Hombre</x:v>
      </x:c>
      <x:c r="D2210" t="str">
        <x:v>m) 60 a 64 años</x:v>
      </x:c>
      <x:c r="E2210" s="1" t="n">
        <x:v>13</x:v>
      </x:c>
    </x:row>
    <x:row r="2211">
      <x:c r="A2211" t="str">
        <x:v>TLALPAN</x:v>
      </x:c>
      <x:c r="B2211" t="str">
        <x:v>El Pedregal</x:v>
      </x:c>
      <x:c r="C2211" t="str">
        <x:v>Hombre</x:v>
      </x:c>
      <x:c r="D2211" t="str">
        <x:v>n) 65 a 69 años</x:v>
      </x:c>
      <x:c r="E2211" s="1" t="n">
        <x:v>9</x:v>
      </x:c>
    </x:row>
    <x:row r="2212">
      <x:c r="A2212" t="str">
        <x:v>TLALPAN</x:v>
      </x:c>
      <x:c r="B2212" t="str">
        <x:v>El Pedregal</x:v>
      </x:c>
      <x:c r="C2212" t="str">
        <x:v>Hombre</x:v>
      </x:c>
      <x:c r="D2212" t="str">
        <x:v>o) 70 a 74 años</x:v>
      </x:c>
      <x:c r="E2212" s="1" t="n">
        <x:v>3</x:v>
      </x:c>
    </x:row>
    <x:row r="2213">
      <x:c r="A2213" t="str">
        <x:v>TLALPAN</x:v>
      </x:c>
      <x:c r="B2213" t="str">
        <x:v>El Pedregal</x:v>
      </x:c>
      <x:c r="C2213" t="str">
        <x:v>Hombre</x:v>
      </x:c>
      <x:c r="D2213" t="str">
        <x:v>p) 75 a 79 años</x:v>
      </x:c>
      <x:c r="E2213" s="1" t="n">
        <x:v>4</x:v>
      </x:c>
    </x:row>
    <x:row r="2214">
      <x:c r="A2214" t="str">
        <x:v>TLALPAN</x:v>
      </x:c>
      <x:c r="B2214" t="str">
        <x:v>El Pedregal</x:v>
      </x:c>
      <x:c r="C2214" t="str">
        <x:v>Hombre</x:v>
      </x:c>
      <x:c r="D2214" t="str">
        <x:v>q) 80 a 84 años</x:v>
      </x:c>
      <x:c r="E2214" s="1" t="n">
        <x:v>3</x:v>
      </x:c>
    </x:row>
    <x:row r="2215">
      <x:c r="A2215" t="str">
        <x:v>TLALPAN</x:v>
      </x:c>
      <x:c r="B2215" t="str">
        <x:v>El Pedregal</x:v>
      </x:c>
      <x:c r="C2215" t="str">
        <x:v>Hombre</x:v>
      </x:c>
      <x:c r="D2215" t="str">
        <x:v>r) 85 años y más</x:v>
      </x:c>
      <x:c r="E2215" s="1" t="n">
        <x:v>1</x:v>
      </x:c>
    </x:row>
    <x:row r="2216">
      <x:c r="A2216" t="str">
        <x:v>TLALPAN</x:v>
      </x:c>
      <x:c r="B2216" t="str">
        <x:v>El Pedregal</x:v>
      </x:c>
      <x:c r="C2216" t="str">
        <x:v>Mujer</x:v>
      </x:c>
      <x:c r="D2216" t="str">
        <x:v>a) 0 a 4 años</x:v>
      </x:c>
      <x:c r="E2216" s="1" t="n">
        <x:v>29</x:v>
      </x:c>
    </x:row>
    <x:row r="2217">
      <x:c r="A2217" t="str">
        <x:v>TLALPAN</x:v>
      </x:c>
      <x:c r="B2217" t="str">
        <x:v>El Pedregal</x:v>
      </x:c>
      <x:c r="C2217" t="str">
        <x:v>Mujer</x:v>
      </x:c>
      <x:c r="D2217" t="str">
        <x:v>b) 5 a 9 años</x:v>
      </x:c>
      <x:c r="E2217" s="1" t="n">
        <x:v>32</x:v>
      </x:c>
    </x:row>
    <x:row r="2218">
      <x:c r="A2218" t="str">
        <x:v>TLALPAN</x:v>
      </x:c>
      <x:c r="B2218" t="str">
        <x:v>El Pedregal</x:v>
      </x:c>
      <x:c r="C2218" t="str">
        <x:v>Mujer</x:v>
      </x:c>
      <x:c r="D2218" t="str">
        <x:v>c) 10 a 14 años</x:v>
      </x:c>
      <x:c r="E2218" s="1" t="n">
        <x:v>42</x:v>
      </x:c>
    </x:row>
    <x:row r="2219">
      <x:c r="A2219" t="str">
        <x:v>TLALPAN</x:v>
      </x:c>
      <x:c r="B2219" t="str">
        <x:v>El Pedregal</x:v>
      </x:c>
      <x:c r="C2219" t="str">
        <x:v>Mujer</x:v>
      </x:c>
      <x:c r="D2219" t="str">
        <x:v>d) 15 a 19 años</x:v>
      </x:c>
      <x:c r="E2219" s="1" t="n">
        <x:v>36</x:v>
      </x:c>
    </x:row>
    <x:row r="2220">
      <x:c r="A2220" t="str">
        <x:v>TLALPAN</x:v>
      </x:c>
      <x:c r="B2220" t="str">
        <x:v>El Pedregal</x:v>
      </x:c>
      <x:c r="C2220" t="str">
        <x:v>Mujer</x:v>
      </x:c>
      <x:c r="D2220" t="str">
        <x:v>e) 20 a 24 años</x:v>
      </x:c>
      <x:c r="E2220" s="1" t="n">
        <x:v>35</x:v>
      </x:c>
    </x:row>
    <x:row r="2221">
      <x:c r="A2221" t="str">
        <x:v>TLALPAN</x:v>
      </x:c>
      <x:c r="B2221" t="str">
        <x:v>El Pedregal</x:v>
      </x:c>
      <x:c r="C2221" t="str">
        <x:v>Mujer</x:v>
      </x:c>
      <x:c r="D2221" t="str">
        <x:v>f) 25 a 29 años</x:v>
      </x:c>
      <x:c r="E2221" s="1" t="n">
        <x:v>34</x:v>
      </x:c>
    </x:row>
    <x:row r="2222">
      <x:c r="A2222" t="str">
        <x:v>TLALPAN</x:v>
      </x:c>
      <x:c r="B2222" t="str">
        <x:v>El Pedregal</x:v>
      </x:c>
      <x:c r="C2222" t="str">
        <x:v>Mujer</x:v>
      </x:c>
      <x:c r="D2222" t="str">
        <x:v>g) 30 a 34 años</x:v>
      </x:c>
      <x:c r="E2222" s="1" t="n">
        <x:v>39</x:v>
      </x:c>
    </x:row>
    <x:row r="2223">
      <x:c r="A2223" t="str">
        <x:v>TLALPAN</x:v>
      </x:c>
      <x:c r="B2223" t="str">
        <x:v>El Pedregal</x:v>
      </x:c>
      <x:c r="C2223" t="str">
        <x:v>Mujer</x:v>
      </x:c>
      <x:c r="D2223" t="str">
        <x:v>h) 35 a 39 años</x:v>
      </x:c>
      <x:c r="E2223" s="1" t="n">
        <x:v>34</x:v>
      </x:c>
    </x:row>
    <x:row r="2224">
      <x:c r="A2224" t="str">
        <x:v>TLALPAN</x:v>
      </x:c>
      <x:c r="B2224" t="str">
        <x:v>El Pedregal</x:v>
      </x:c>
      <x:c r="C2224" t="str">
        <x:v>Mujer</x:v>
      </x:c>
      <x:c r="D2224" t="str">
        <x:v>i) 40 a 44 años</x:v>
      </x:c>
      <x:c r="E2224" s="1" t="n">
        <x:v>32</x:v>
      </x:c>
    </x:row>
    <x:row r="2225">
      <x:c r="A2225" t="str">
        <x:v>TLALPAN</x:v>
      </x:c>
      <x:c r="B2225" t="str">
        <x:v>El Pedregal</x:v>
      </x:c>
      <x:c r="C2225" t="str">
        <x:v>Mujer</x:v>
      </x:c>
      <x:c r="D2225" t="str">
        <x:v>j) 45 a 49 años</x:v>
      </x:c>
      <x:c r="E2225" s="1" t="n">
        <x:v>27</x:v>
      </x:c>
    </x:row>
    <x:row r="2226">
      <x:c r="A2226" t="str">
        <x:v>TLALPAN</x:v>
      </x:c>
      <x:c r="B2226" t="str">
        <x:v>El Pedregal</x:v>
      </x:c>
      <x:c r="C2226" t="str">
        <x:v>Mujer</x:v>
      </x:c>
      <x:c r="D2226" t="str">
        <x:v>k) 50 a 54 años</x:v>
      </x:c>
      <x:c r="E2226" s="1" t="n">
        <x:v>22</x:v>
      </x:c>
    </x:row>
    <x:row r="2227">
      <x:c r="A2227" t="str">
        <x:v>TLALPAN</x:v>
      </x:c>
      <x:c r="B2227" t="str">
        <x:v>El Pedregal</x:v>
      </x:c>
      <x:c r="C2227" t="str">
        <x:v>Mujer</x:v>
      </x:c>
      <x:c r="D2227" t="str">
        <x:v>l) 55 a 59 años</x:v>
      </x:c>
      <x:c r="E2227" s="1" t="n">
        <x:v>15</x:v>
      </x:c>
    </x:row>
    <x:row r="2228">
      <x:c r="A2228" t="str">
        <x:v>TLALPAN</x:v>
      </x:c>
      <x:c r="B2228" t="str">
        <x:v>El Pedregal</x:v>
      </x:c>
      <x:c r="C2228" t="str">
        <x:v>Mujer</x:v>
      </x:c>
      <x:c r="D2228" t="str">
        <x:v>m) 60 a 64 años</x:v>
      </x:c>
      <x:c r="E2228" s="1" t="n">
        <x:v>11</x:v>
      </x:c>
    </x:row>
    <x:row r="2229">
      <x:c r="A2229" t="str">
        <x:v>TLALPAN</x:v>
      </x:c>
      <x:c r="B2229" t="str">
        <x:v>El Pedregal</x:v>
      </x:c>
      <x:c r="C2229" t="str">
        <x:v>Mujer</x:v>
      </x:c>
      <x:c r="D2229" t="str">
        <x:v>n) 65 a 69 años</x:v>
      </x:c>
      <x:c r="E2229" s="1" t="n">
        <x:v>6</x:v>
      </x:c>
    </x:row>
    <x:row r="2230">
      <x:c r="A2230" t="str">
        <x:v>TLALPAN</x:v>
      </x:c>
      <x:c r="B2230" t="str">
        <x:v>El Pedregal</x:v>
      </x:c>
      <x:c r="C2230" t="str">
        <x:v>Mujer</x:v>
      </x:c>
      <x:c r="D2230" t="str">
        <x:v>o) 70 a 74 años</x:v>
      </x:c>
      <x:c r="E2230" s="1" t="n">
        <x:v>4</x:v>
      </x:c>
    </x:row>
    <x:row r="2231">
      <x:c r="A2231" t="str">
        <x:v>TLALPAN</x:v>
      </x:c>
      <x:c r="B2231" t="str">
        <x:v>El Pedregal</x:v>
      </x:c>
      <x:c r="C2231" t="str">
        <x:v>Mujer</x:v>
      </x:c>
      <x:c r="D2231" t="str">
        <x:v>p) 75 a 79 años</x:v>
      </x:c>
      <x:c r="E2231" s="1" t="n">
        <x:v>0</x:v>
      </x:c>
    </x:row>
    <x:row r="2232">
      <x:c r="A2232" t="str">
        <x:v>TLALPAN</x:v>
      </x:c>
      <x:c r="B2232" t="str">
        <x:v>El Pedregal</x:v>
      </x:c>
      <x:c r="C2232" t="str">
        <x:v>Mujer</x:v>
      </x:c>
      <x:c r="D2232" t="str">
        <x:v>q) 80 a 84 años</x:v>
      </x:c>
      <x:c r="E2232" s="1" t="n">
        <x:v>2</x:v>
      </x:c>
    </x:row>
    <x:row r="2233">
      <x:c r="A2233" t="str">
        <x:v>TLALPAN</x:v>
      </x:c>
      <x:c r="B2233" t="str">
        <x:v>El Pedregal</x:v>
      </x:c>
      <x:c r="C2233" t="str">
        <x:v>Mujer</x:v>
      </x:c>
      <x:c r="D2233" t="str">
        <x:v>r) 85 años y más</x:v>
      </x:c>
      <x:c r="E2233" s="1" t="n">
        <x:v>2</x:v>
      </x:c>
    </x:row>
    <x:row r="2234">
      <x:c r="A2234" t="str">
        <x:v>TLALPAN</x:v>
      </x:c>
      <x:c r="B2234" t="str">
        <x:v>Chalcuitongo (La Asunción)</x:v>
      </x:c>
      <x:c r="C2234" t="str">
        <x:v>Hombre</x:v>
      </x:c>
      <x:c r="D2234" t="str">
        <x:v>a) 0 a 4 años</x:v>
      </x:c>
      <x:c r="E2234" s="1" t="n">
        <x:v>41</x:v>
      </x:c>
    </x:row>
    <x:row r="2235">
      <x:c r="A2235" t="str">
        <x:v>TLALPAN</x:v>
      </x:c>
      <x:c r="B2235" t="str">
        <x:v>Chalcuitongo (La Asunción)</x:v>
      </x:c>
      <x:c r="C2235" t="str">
        <x:v>Hombre</x:v>
      </x:c>
      <x:c r="D2235" t="str">
        <x:v>b) 5 a 9 años</x:v>
      </x:c>
      <x:c r="E2235" s="1" t="n">
        <x:v>52</x:v>
      </x:c>
    </x:row>
    <x:row r="2236">
      <x:c r="A2236" t="str">
        <x:v>TLALPAN</x:v>
      </x:c>
      <x:c r="B2236" t="str">
        <x:v>Chalcuitongo (La Asunción)</x:v>
      </x:c>
      <x:c r="C2236" t="str">
        <x:v>Hombre</x:v>
      </x:c>
      <x:c r="D2236" t="str">
        <x:v>c) 10 a 14 años</x:v>
      </x:c>
      <x:c r="E2236" s="1" t="n">
        <x:v>44</x:v>
      </x:c>
    </x:row>
    <x:row r="2237">
      <x:c r="A2237" t="str">
        <x:v>TLALPAN</x:v>
      </x:c>
      <x:c r="B2237" t="str">
        <x:v>Chalcuitongo (La Asunción)</x:v>
      </x:c>
      <x:c r="C2237" t="str">
        <x:v>Hombre</x:v>
      </x:c>
      <x:c r="D2237" t="str">
        <x:v>d) 15 a 19 años</x:v>
      </x:c>
      <x:c r="E2237" s="1" t="n">
        <x:v>64</x:v>
      </x:c>
    </x:row>
    <x:row r="2238">
      <x:c r="A2238" t="str">
        <x:v>TLALPAN</x:v>
      </x:c>
      <x:c r="B2238" t="str">
        <x:v>Chalcuitongo (La Asunción)</x:v>
      </x:c>
      <x:c r="C2238" t="str">
        <x:v>Hombre</x:v>
      </x:c>
      <x:c r="D2238" t="str">
        <x:v>e) 20 a 24 años</x:v>
      </x:c>
      <x:c r="E2238" s="1" t="n">
        <x:v>48</x:v>
      </x:c>
    </x:row>
    <x:row r="2239">
      <x:c r="A2239" t="str">
        <x:v>TLALPAN</x:v>
      </x:c>
      <x:c r="B2239" t="str">
        <x:v>Chalcuitongo (La Asunción)</x:v>
      </x:c>
      <x:c r="C2239" t="str">
        <x:v>Hombre</x:v>
      </x:c>
      <x:c r="D2239" t="str">
        <x:v>f) 25 a 29 años</x:v>
      </x:c>
      <x:c r="E2239" s="1" t="n">
        <x:v>48</x:v>
      </x:c>
    </x:row>
    <x:row r="2240">
      <x:c r="A2240" t="str">
        <x:v>TLALPAN</x:v>
      </x:c>
      <x:c r="B2240" t="str">
        <x:v>Chalcuitongo (La Asunción)</x:v>
      </x:c>
      <x:c r="C2240" t="str">
        <x:v>Hombre</x:v>
      </x:c>
      <x:c r="D2240" t="str">
        <x:v>g) 30 a 34 años</x:v>
      </x:c>
      <x:c r="E2240" s="1" t="n">
        <x:v>45</x:v>
      </x:c>
    </x:row>
    <x:row r="2241">
      <x:c r="A2241" t="str">
        <x:v>TLALPAN</x:v>
      </x:c>
      <x:c r="B2241" t="str">
        <x:v>Chalcuitongo (La Asunción)</x:v>
      </x:c>
      <x:c r="C2241" t="str">
        <x:v>Hombre</x:v>
      </x:c>
      <x:c r="D2241" t="str">
        <x:v>h) 35 a 39 años</x:v>
      </x:c>
      <x:c r="E2241" s="1" t="n">
        <x:v>36</x:v>
      </x:c>
    </x:row>
    <x:row r="2242">
      <x:c r="A2242" t="str">
        <x:v>TLALPAN</x:v>
      </x:c>
      <x:c r="B2242" t="str">
        <x:v>Chalcuitongo (La Asunción)</x:v>
      </x:c>
      <x:c r="C2242" t="str">
        <x:v>Hombre</x:v>
      </x:c>
      <x:c r="D2242" t="str">
        <x:v>i) 40 a 44 años</x:v>
      </x:c>
      <x:c r="E2242" s="1" t="n">
        <x:v>34</x:v>
      </x:c>
    </x:row>
    <x:row r="2243">
      <x:c r="A2243" t="str">
        <x:v>TLALPAN</x:v>
      </x:c>
      <x:c r="B2243" t="str">
        <x:v>Chalcuitongo (La Asunción)</x:v>
      </x:c>
      <x:c r="C2243" t="str">
        <x:v>Hombre</x:v>
      </x:c>
      <x:c r="D2243" t="str">
        <x:v>j) 45 a 49 años</x:v>
      </x:c>
      <x:c r="E2243" s="1" t="n">
        <x:v>33</x:v>
      </x:c>
    </x:row>
    <x:row r="2244">
      <x:c r="A2244" t="str">
        <x:v>TLALPAN</x:v>
      </x:c>
      <x:c r="B2244" t="str">
        <x:v>Chalcuitongo (La Asunción)</x:v>
      </x:c>
      <x:c r="C2244" t="str">
        <x:v>Hombre</x:v>
      </x:c>
      <x:c r="D2244" t="str">
        <x:v>k) 50 a 54 años</x:v>
      </x:c>
      <x:c r="E2244" s="1" t="n">
        <x:v>31</x:v>
      </x:c>
    </x:row>
    <x:row r="2245">
      <x:c r="A2245" t="str">
        <x:v>TLALPAN</x:v>
      </x:c>
      <x:c r="B2245" t="str">
        <x:v>Chalcuitongo (La Asunción)</x:v>
      </x:c>
      <x:c r="C2245" t="str">
        <x:v>Hombre</x:v>
      </x:c>
      <x:c r="D2245" t="str">
        <x:v>l) 55 a 59 años</x:v>
      </x:c>
      <x:c r="E2245" s="1" t="n">
        <x:v>23</x:v>
      </x:c>
    </x:row>
    <x:row r="2246">
      <x:c r="A2246" t="str">
        <x:v>TLALPAN</x:v>
      </x:c>
      <x:c r="B2246" t="str">
        <x:v>Chalcuitongo (La Asunción)</x:v>
      </x:c>
      <x:c r="C2246" t="str">
        <x:v>Hombre</x:v>
      </x:c>
      <x:c r="D2246" t="str">
        <x:v>m) 60 a 64 años</x:v>
      </x:c>
      <x:c r="E2246" s="1" t="n">
        <x:v>7</x:v>
      </x:c>
    </x:row>
    <x:row r="2247">
      <x:c r="A2247" t="str">
        <x:v>TLALPAN</x:v>
      </x:c>
      <x:c r="B2247" t="str">
        <x:v>Chalcuitongo (La Asunción)</x:v>
      </x:c>
      <x:c r="C2247" t="str">
        <x:v>Hombre</x:v>
      </x:c>
      <x:c r="D2247" t="str">
        <x:v>n) 65 a 69 años</x:v>
      </x:c>
      <x:c r="E2247" s="1" t="n">
        <x:v>8</x:v>
      </x:c>
    </x:row>
    <x:row r="2248">
      <x:c r="A2248" t="str">
        <x:v>TLALPAN</x:v>
      </x:c>
      <x:c r="B2248" t="str">
        <x:v>Chalcuitongo (La Asunción)</x:v>
      </x:c>
      <x:c r="C2248" t="str">
        <x:v>Hombre</x:v>
      </x:c>
      <x:c r="D2248" t="str">
        <x:v>o) 70 a 74 años</x:v>
      </x:c>
      <x:c r="E2248" s="1" t="n">
        <x:v>7</x:v>
      </x:c>
    </x:row>
    <x:row r="2249">
      <x:c r="A2249" t="str">
        <x:v>TLALPAN</x:v>
      </x:c>
      <x:c r="B2249" t="str">
        <x:v>Chalcuitongo (La Asunción)</x:v>
      </x:c>
      <x:c r="C2249" t="str">
        <x:v>Hombre</x:v>
      </x:c>
      <x:c r="D2249" t="str">
        <x:v>p) 75 a 79 años</x:v>
      </x:c>
      <x:c r="E2249" s="1" t="n">
        <x:v>1</x:v>
      </x:c>
    </x:row>
    <x:row r="2250">
      <x:c r="A2250" t="str">
        <x:v>TLALPAN</x:v>
      </x:c>
      <x:c r="B2250" t="str">
        <x:v>Chalcuitongo (La Asunción)</x:v>
      </x:c>
      <x:c r="C2250" t="str">
        <x:v>Hombre</x:v>
      </x:c>
      <x:c r="D2250" t="str">
        <x:v>q) 80 a 84 años</x:v>
      </x:c>
      <x:c r="E2250" s="1" t="n">
        <x:v>3</x:v>
      </x:c>
    </x:row>
    <x:row r="2251">
      <x:c r="A2251" t="str">
        <x:v>TLALPAN</x:v>
      </x:c>
      <x:c r="B2251" t="str">
        <x:v>Chalcuitongo (La Asunción)</x:v>
      </x:c>
      <x:c r="C2251" t="str">
        <x:v>Hombre</x:v>
      </x:c>
      <x:c r="D2251" t="str">
        <x:v>r) 85 años y más</x:v>
      </x:c>
      <x:c r="E2251" s="1" t="n">
        <x:v>1</x:v>
      </x:c>
    </x:row>
    <x:row r="2252">
      <x:c r="A2252" t="str">
        <x:v>TLALPAN</x:v>
      </x:c>
      <x:c r="B2252" t="str">
        <x:v>Chalcuitongo (La Asunción)</x:v>
      </x:c>
      <x:c r="C2252" t="str">
        <x:v>Mujer</x:v>
      </x:c>
      <x:c r="D2252" t="str">
        <x:v>a) 0 a 4 años</x:v>
      </x:c>
      <x:c r="E2252" s="1" t="n">
        <x:v>51</x:v>
      </x:c>
    </x:row>
    <x:row r="2253">
      <x:c r="A2253" t="str">
        <x:v>TLALPAN</x:v>
      </x:c>
      <x:c r="B2253" t="str">
        <x:v>Chalcuitongo (La Asunción)</x:v>
      </x:c>
      <x:c r="C2253" t="str">
        <x:v>Mujer</x:v>
      </x:c>
      <x:c r="D2253" t="str">
        <x:v>b) 5 a 9 años</x:v>
      </x:c>
      <x:c r="E2253" s="1" t="n">
        <x:v>62</x:v>
      </x:c>
    </x:row>
    <x:row r="2254">
      <x:c r="A2254" t="str">
        <x:v>TLALPAN</x:v>
      </x:c>
      <x:c r="B2254" t="str">
        <x:v>Chalcuitongo (La Asunción)</x:v>
      </x:c>
      <x:c r="C2254" t="str">
        <x:v>Mujer</x:v>
      </x:c>
      <x:c r="D2254" t="str">
        <x:v>c) 10 a 14 años</x:v>
      </x:c>
      <x:c r="E2254" s="1" t="n">
        <x:v>51</x:v>
      </x:c>
    </x:row>
    <x:row r="2255">
      <x:c r="A2255" t="str">
        <x:v>TLALPAN</x:v>
      </x:c>
      <x:c r="B2255" t="str">
        <x:v>Chalcuitongo (La Asunción)</x:v>
      </x:c>
      <x:c r="C2255" t="str">
        <x:v>Mujer</x:v>
      </x:c>
      <x:c r="D2255" t="str">
        <x:v>d) 15 a 19 años</x:v>
      </x:c>
      <x:c r="E2255" s="1" t="n">
        <x:v>49</x:v>
      </x:c>
    </x:row>
    <x:row r="2256">
      <x:c r="A2256" t="str">
        <x:v>TLALPAN</x:v>
      </x:c>
      <x:c r="B2256" t="str">
        <x:v>Chalcuitongo (La Asunción)</x:v>
      </x:c>
      <x:c r="C2256" t="str">
        <x:v>Mujer</x:v>
      </x:c>
      <x:c r="D2256" t="str">
        <x:v>e) 20 a 24 años</x:v>
      </x:c>
      <x:c r="E2256" s="1" t="n">
        <x:v>45</x:v>
      </x:c>
    </x:row>
    <x:row r="2257">
      <x:c r="A2257" t="str">
        <x:v>TLALPAN</x:v>
      </x:c>
      <x:c r="B2257" t="str">
        <x:v>Chalcuitongo (La Asunción)</x:v>
      </x:c>
      <x:c r="C2257" t="str">
        <x:v>Mujer</x:v>
      </x:c>
      <x:c r="D2257" t="str">
        <x:v>f) 25 a 29 años</x:v>
      </x:c>
      <x:c r="E2257" s="1" t="n">
        <x:v>43</x:v>
      </x:c>
    </x:row>
    <x:row r="2258">
      <x:c r="A2258" t="str">
        <x:v>TLALPAN</x:v>
      </x:c>
      <x:c r="B2258" t="str">
        <x:v>Chalcuitongo (La Asunción)</x:v>
      </x:c>
      <x:c r="C2258" t="str">
        <x:v>Mujer</x:v>
      </x:c>
      <x:c r="D2258" t="str">
        <x:v>g) 30 a 34 años</x:v>
      </x:c>
      <x:c r="E2258" s="1" t="n">
        <x:v>40</x:v>
      </x:c>
    </x:row>
    <x:row r="2259">
      <x:c r="A2259" t="str">
        <x:v>TLALPAN</x:v>
      </x:c>
      <x:c r="B2259" t="str">
        <x:v>Chalcuitongo (La Asunción)</x:v>
      </x:c>
      <x:c r="C2259" t="str">
        <x:v>Mujer</x:v>
      </x:c>
      <x:c r="D2259" t="str">
        <x:v>h) 35 a 39 años</x:v>
      </x:c>
      <x:c r="E2259" s="1" t="n">
        <x:v>40</x:v>
      </x:c>
    </x:row>
    <x:row r="2260">
      <x:c r="A2260" t="str">
        <x:v>TLALPAN</x:v>
      </x:c>
      <x:c r="B2260" t="str">
        <x:v>Chalcuitongo (La Asunción)</x:v>
      </x:c>
      <x:c r="C2260" t="str">
        <x:v>Mujer</x:v>
      </x:c>
      <x:c r="D2260" t="str">
        <x:v>i) 40 a 44 años</x:v>
      </x:c>
      <x:c r="E2260" s="1" t="n">
        <x:v>37</x:v>
      </x:c>
    </x:row>
    <x:row r="2261">
      <x:c r="A2261" t="str">
        <x:v>TLALPAN</x:v>
      </x:c>
      <x:c r="B2261" t="str">
        <x:v>Chalcuitongo (La Asunción)</x:v>
      </x:c>
      <x:c r="C2261" t="str">
        <x:v>Mujer</x:v>
      </x:c>
      <x:c r="D2261" t="str">
        <x:v>j) 45 a 49 años</x:v>
      </x:c>
      <x:c r="E2261" s="1" t="n">
        <x:v>34</x:v>
      </x:c>
    </x:row>
    <x:row r="2262">
      <x:c r="A2262" t="str">
        <x:v>TLALPAN</x:v>
      </x:c>
      <x:c r="B2262" t="str">
        <x:v>Chalcuitongo (La Asunción)</x:v>
      </x:c>
      <x:c r="C2262" t="str">
        <x:v>Mujer</x:v>
      </x:c>
      <x:c r="D2262" t="str">
        <x:v>k) 50 a 54 años</x:v>
      </x:c>
      <x:c r="E2262" s="1" t="n">
        <x:v>26</x:v>
      </x:c>
    </x:row>
    <x:row r="2263">
      <x:c r="A2263" t="str">
        <x:v>TLALPAN</x:v>
      </x:c>
      <x:c r="B2263" t="str">
        <x:v>Chalcuitongo (La Asunción)</x:v>
      </x:c>
      <x:c r="C2263" t="str">
        <x:v>Mujer</x:v>
      </x:c>
      <x:c r="D2263" t="str">
        <x:v>l) 55 a 59 años</x:v>
      </x:c>
      <x:c r="E2263" s="1" t="n">
        <x:v>20</x:v>
      </x:c>
    </x:row>
    <x:row r="2264">
      <x:c r="A2264" t="str">
        <x:v>TLALPAN</x:v>
      </x:c>
      <x:c r="B2264" t="str">
        <x:v>Chalcuitongo (La Asunción)</x:v>
      </x:c>
      <x:c r="C2264" t="str">
        <x:v>Mujer</x:v>
      </x:c>
      <x:c r="D2264" t="str">
        <x:v>m) 60 a 64 años</x:v>
      </x:c>
      <x:c r="E2264" s="1" t="n">
        <x:v>7</x:v>
      </x:c>
    </x:row>
    <x:row r="2265">
      <x:c r="A2265" t="str">
        <x:v>TLALPAN</x:v>
      </x:c>
      <x:c r="B2265" t="str">
        <x:v>Chalcuitongo (La Asunción)</x:v>
      </x:c>
      <x:c r="C2265" t="str">
        <x:v>Mujer</x:v>
      </x:c>
      <x:c r="D2265" t="str">
        <x:v>n) 65 a 69 años</x:v>
      </x:c>
      <x:c r="E2265" s="1" t="n">
        <x:v>10</x:v>
      </x:c>
    </x:row>
    <x:row r="2266">
      <x:c r="A2266" t="str">
        <x:v>TLALPAN</x:v>
      </x:c>
      <x:c r="B2266" t="str">
        <x:v>Chalcuitongo (La Asunción)</x:v>
      </x:c>
      <x:c r="C2266" t="str">
        <x:v>Mujer</x:v>
      </x:c>
      <x:c r="D2266" t="str">
        <x:v>o) 70 a 74 años</x:v>
      </x:c>
      <x:c r="E2266" s="1" t="n">
        <x:v>5</x:v>
      </x:c>
    </x:row>
    <x:row r="2267">
      <x:c r="A2267" t="str">
        <x:v>TLALPAN</x:v>
      </x:c>
      <x:c r="B2267" t="str">
        <x:v>Chalcuitongo (La Asunción)</x:v>
      </x:c>
      <x:c r="C2267" t="str">
        <x:v>Mujer</x:v>
      </x:c>
      <x:c r="D2267" t="str">
        <x:v>p) 75 a 79 años</x:v>
      </x:c>
      <x:c r="E2267" s="1" t="n">
        <x:v>1</x:v>
      </x:c>
    </x:row>
    <x:row r="2268">
      <x:c r="A2268" t="str">
        <x:v>TLALPAN</x:v>
      </x:c>
      <x:c r="B2268" t="str">
        <x:v>Chalcuitongo (La Asunción)</x:v>
      </x:c>
      <x:c r="C2268" t="str">
        <x:v>Mujer</x:v>
      </x:c>
      <x:c r="D2268" t="str">
        <x:v>q) 80 a 84 años</x:v>
      </x:c>
      <x:c r="E2268" s="1" t="n">
        <x:v>0</x:v>
      </x:c>
    </x:row>
    <x:row r="2269">
      <x:c r="A2269" t="str">
        <x:v>TLALPAN</x:v>
      </x:c>
      <x:c r="B2269" t="str">
        <x:v>Chalcuitongo (La Asunción)</x:v>
      </x:c>
      <x:c r="C2269" t="str">
        <x:v>Mujer</x:v>
      </x:c>
      <x:c r="D2269" t="str">
        <x:v>r) 85 años y más</x:v>
      </x:c>
      <x:c r="E2269" s="1" t="n">
        <x:v>1</x:v>
      </x:c>
    </x:row>
    <x:row r="2270">
      <x:c r="A2270" t="str">
        <x:v>TLALPAN</x:v>
      </x:c>
      <x:c r="B2270" t="str">
        <x:v>El Charco</x:v>
      </x:c>
      <x:c r="C2270" t="str">
        <x:v>Hombre</x:v>
      </x:c>
      <x:c r="D2270" t="str">
        <x:v>a) 0 a 4 años</x:v>
      </x:c>
      <x:c r="E2270" s="1" t="n">
        <x:v>23</x:v>
      </x:c>
    </x:row>
    <x:row r="2271">
      <x:c r="A2271" t="str">
        <x:v>TLALPAN</x:v>
      </x:c>
      <x:c r="B2271" t="str">
        <x:v>El Charco</x:v>
      </x:c>
      <x:c r="C2271" t="str">
        <x:v>Hombre</x:v>
      </x:c>
      <x:c r="D2271" t="str">
        <x:v>b) 5 a 9 años</x:v>
      </x:c>
      <x:c r="E2271" s="1" t="n">
        <x:v>36</x:v>
      </x:c>
    </x:row>
    <x:row r="2272">
      <x:c r="A2272" t="str">
        <x:v>TLALPAN</x:v>
      </x:c>
      <x:c r="B2272" t="str">
        <x:v>El Charco</x:v>
      </x:c>
      <x:c r="C2272" t="str">
        <x:v>Hombre</x:v>
      </x:c>
      <x:c r="D2272" t="str">
        <x:v>c) 10 a 14 años</x:v>
      </x:c>
      <x:c r="E2272" s="1" t="n">
        <x:v>35</x:v>
      </x:c>
    </x:row>
    <x:row r="2273">
      <x:c r="A2273" t="str">
        <x:v>TLALPAN</x:v>
      </x:c>
      <x:c r="B2273" t="str">
        <x:v>El Charco</x:v>
      </x:c>
      <x:c r="C2273" t="str">
        <x:v>Hombre</x:v>
      </x:c>
      <x:c r="D2273" t="str">
        <x:v>d) 15 a 19 años</x:v>
      </x:c>
      <x:c r="E2273" s="1" t="n">
        <x:v>27</x:v>
      </x:c>
    </x:row>
    <x:row r="2274">
      <x:c r="A2274" t="str">
        <x:v>TLALPAN</x:v>
      </x:c>
      <x:c r="B2274" t="str">
        <x:v>El Charco</x:v>
      </x:c>
      <x:c r="C2274" t="str">
        <x:v>Hombre</x:v>
      </x:c>
      <x:c r="D2274" t="str">
        <x:v>e) 20 a 24 años</x:v>
      </x:c>
      <x:c r="E2274" s="1" t="n">
        <x:v>39</x:v>
      </x:c>
    </x:row>
    <x:row r="2275">
      <x:c r="A2275" t="str">
        <x:v>TLALPAN</x:v>
      </x:c>
      <x:c r="B2275" t="str">
        <x:v>El Charco</x:v>
      </x:c>
      <x:c r="C2275" t="str">
        <x:v>Hombre</x:v>
      </x:c>
      <x:c r="D2275" t="str">
        <x:v>f) 25 a 29 años</x:v>
      </x:c>
      <x:c r="E2275" s="1" t="n">
        <x:v>32</x:v>
      </x:c>
    </x:row>
    <x:row r="2276">
      <x:c r="A2276" t="str">
        <x:v>TLALPAN</x:v>
      </x:c>
      <x:c r="B2276" t="str">
        <x:v>El Charco</x:v>
      </x:c>
      <x:c r="C2276" t="str">
        <x:v>Hombre</x:v>
      </x:c>
      <x:c r="D2276" t="str">
        <x:v>g) 30 a 34 años</x:v>
      </x:c>
      <x:c r="E2276" s="1" t="n">
        <x:v>35</x:v>
      </x:c>
    </x:row>
    <x:row r="2277">
      <x:c r="A2277" t="str">
        <x:v>TLALPAN</x:v>
      </x:c>
      <x:c r="B2277" t="str">
        <x:v>El Charco</x:v>
      </x:c>
      <x:c r="C2277" t="str">
        <x:v>Hombre</x:v>
      </x:c>
      <x:c r="D2277" t="str">
        <x:v>h) 35 a 39 años</x:v>
      </x:c>
      <x:c r="E2277" s="1" t="n">
        <x:v>28</x:v>
      </x:c>
    </x:row>
    <x:row r="2278">
      <x:c r="A2278" t="str">
        <x:v>TLALPAN</x:v>
      </x:c>
      <x:c r="B2278" t="str">
        <x:v>El Charco</x:v>
      </x:c>
      <x:c r="C2278" t="str">
        <x:v>Hombre</x:v>
      </x:c>
      <x:c r="D2278" t="str">
        <x:v>i) 40 a 44 años</x:v>
      </x:c>
      <x:c r="E2278" s="1" t="n">
        <x:v>25</x:v>
      </x:c>
    </x:row>
    <x:row r="2279">
      <x:c r="A2279" t="str">
        <x:v>TLALPAN</x:v>
      </x:c>
      <x:c r="B2279" t="str">
        <x:v>El Charco</x:v>
      </x:c>
      <x:c r="C2279" t="str">
        <x:v>Hombre</x:v>
      </x:c>
      <x:c r="D2279" t="str">
        <x:v>j) 45 a 49 años</x:v>
      </x:c>
      <x:c r="E2279" s="1" t="n">
        <x:v>31</x:v>
      </x:c>
    </x:row>
    <x:row r="2280">
      <x:c r="A2280" t="str">
        <x:v>TLALPAN</x:v>
      </x:c>
      <x:c r="B2280" t="str">
        <x:v>El Charco</x:v>
      </x:c>
      <x:c r="C2280" t="str">
        <x:v>Hombre</x:v>
      </x:c>
      <x:c r="D2280" t="str">
        <x:v>k) 50 a 54 años</x:v>
      </x:c>
      <x:c r="E2280" s="1" t="n">
        <x:v>25</x:v>
      </x:c>
    </x:row>
    <x:row r="2281">
      <x:c r="A2281" t="str">
        <x:v>TLALPAN</x:v>
      </x:c>
      <x:c r="B2281" t="str">
        <x:v>El Charco</x:v>
      </x:c>
      <x:c r="C2281" t="str">
        <x:v>Hombre</x:v>
      </x:c>
      <x:c r="D2281" t="str">
        <x:v>l) 55 a 59 años</x:v>
      </x:c>
      <x:c r="E2281" s="1" t="n">
        <x:v>11</x:v>
      </x:c>
    </x:row>
    <x:row r="2282">
      <x:c r="A2282" t="str">
        <x:v>TLALPAN</x:v>
      </x:c>
      <x:c r="B2282" t="str">
        <x:v>El Charco</x:v>
      </x:c>
      <x:c r="C2282" t="str">
        <x:v>Hombre</x:v>
      </x:c>
      <x:c r="D2282" t="str">
        <x:v>m) 60 a 64 años</x:v>
      </x:c>
      <x:c r="E2282" s="1" t="n">
        <x:v>11</x:v>
      </x:c>
    </x:row>
    <x:row r="2283">
      <x:c r="A2283" t="str">
        <x:v>TLALPAN</x:v>
      </x:c>
      <x:c r="B2283" t="str">
        <x:v>El Charco</x:v>
      </x:c>
      <x:c r="C2283" t="str">
        <x:v>Hombre</x:v>
      </x:c>
      <x:c r="D2283" t="str">
        <x:v>n) 65 a 69 años</x:v>
      </x:c>
      <x:c r="E2283" s="1" t="n">
        <x:v>14</x:v>
      </x:c>
    </x:row>
    <x:row r="2284">
      <x:c r="A2284" t="str">
        <x:v>TLALPAN</x:v>
      </x:c>
      <x:c r="B2284" t="str">
        <x:v>El Charco</x:v>
      </x:c>
      <x:c r="C2284" t="str">
        <x:v>Hombre</x:v>
      </x:c>
      <x:c r="D2284" t="str">
        <x:v>o) 70 a 74 años</x:v>
      </x:c>
      <x:c r="E2284" s="1" t="n">
        <x:v>2</x:v>
      </x:c>
    </x:row>
    <x:row r="2285">
      <x:c r="A2285" t="str">
        <x:v>TLALPAN</x:v>
      </x:c>
      <x:c r="B2285" t="str">
        <x:v>El Charco</x:v>
      </x:c>
      <x:c r="C2285" t="str">
        <x:v>Hombre</x:v>
      </x:c>
      <x:c r="D2285" t="str">
        <x:v>p) 75 a 79 años</x:v>
      </x:c>
      <x:c r="E2285" s="1" t="n">
        <x:v>0</x:v>
      </x:c>
    </x:row>
    <x:row r="2286">
      <x:c r="A2286" t="str">
        <x:v>TLALPAN</x:v>
      </x:c>
      <x:c r="B2286" t="str">
        <x:v>El Charco</x:v>
      </x:c>
      <x:c r="C2286" t="str">
        <x:v>Hombre</x:v>
      </x:c>
      <x:c r="D2286" t="str">
        <x:v>q) 80 a 84 años</x:v>
      </x:c>
      <x:c r="E2286" s="1" t="n">
        <x:v>0</x:v>
      </x:c>
    </x:row>
    <x:row r="2287">
      <x:c r="A2287" t="str">
        <x:v>TLALPAN</x:v>
      </x:c>
      <x:c r="B2287" t="str">
        <x:v>El Charco</x:v>
      </x:c>
      <x:c r="C2287" t="str">
        <x:v>Hombre</x:v>
      </x:c>
      <x:c r="D2287" t="str">
        <x:v>r) 85 años y más</x:v>
      </x:c>
      <x:c r="E2287" s="1" t="n">
        <x:v>1</x:v>
      </x:c>
    </x:row>
    <x:row r="2288">
      <x:c r="A2288" t="str">
        <x:v>TLALPAN</x:v>
      </x:c>
      <x:c r="B2288" t="str">
        <x:v>El Charco</x:v>
      </x:c>
      <x:c r="C2288" t="str">
        <x:v>Mujer</x:v>
      </x:c>
      <x:c r="D2288" t="str">
        <x:v>a) 0 a 4 años</x:v>
      </x:c>
      <x:c r="E2288" s="1" t="n">
        <x:v>34</x:v>
      </x:c>
    </x:row>
    <x:row r="2289">
      <x:c r="A2289" t="str">
        <x:v>TLALPAN</x:v>
      </x:c>
      <x:c r="B2289" t="str">
        <x:v>El Charco</x:v>
      </x:c>
      <x:c r="C2289" t="str">
        <x:v>Mujer</x:v>
      </x:c>
      <x:c r="D2289" t="str">
        <x:v>b) 5 a 9 años</x:v>
      </x:c>
      <x:c r="E2289" s="1" t="n">
        <x:v>29</x:v>
      </x:c>
    </x:row>
    <x:row r="2290">
      <x:c r="A2290" t="str">
        <x:v>TLALPAN</x:v>
      </x:c>
      <x:c r="B2290" t="str">
        <x:v>El Charco</x:v>
      </x:c>
      <x:c r="C2290" t="str">
        <x:v>Mujer</x:v>
      </x:c>
      <x:c r="D2290" t="str">
        <x:v>c) 10 a 14 años</x:v>
      </x:c>
      <x:c r="E2290" s="1" t="n">
        <x:v>33</x:v>
      </x:c>
    </x:row>
    <x:row r="2291">
      <x:c r="A2291" t="str">
        <x:v>TLALPAN</x:v>
      </x:c>
      <x:c r="B2291" t="str">
        <x:v>El Charco</x:v>
      </x:c>
      <x:c r="C2291" t="str">
        <x:v>Mujer</x:v>
      </x:c>
      <x:c r="D2291" t="str">
        <x:v>d) 15 a 19 años</x:v>
      </x:c>
      <x:c r="E2291" s="1" t="n">
        <x:v>35</x:v>
      </x:c>
    </x:row>
    <x:row r="2292">
      <x:c r="A2292" t="str">
        <x:v>TLALPAN</x:v>
      </x:c>
      <x:c r="B2292" t="str">
        <x:v>El Charco</x:v>
      </x:c>
      <x:c r="C2292" t="str">
        <x:v>Mujer</x:v>
      </x:c>
      <x:c r="D2292" t="str">
        <x:v>e) 20 a 24 años</x:v>
      </x:c>
      <x:c r="E2292" s="1" t="n">
        <x:v>43</x:v>
      </x:c>
    </x:row>
    <x:row r="2293">
      <x:c r="A2293" t="str">
        <x:v>TLALPAN</x:v>
      </x:c>
      <x:c r="B2293" t="str">
        <x:v>El Charco</x:v>
      </x:c>
      <x:c r="C2293" t="str">
        <x:v>Mujer</x:v>
      </x:c>
      <x:c r="D2293" t="str">
        <x:v>f) 25 a 29 años</x:v>
      </x:c>
      <x:c r="E2293" s="1" t="n">
        <x:v>32</x:v>
      </x:c>
    </x:row>
    <x:row r="2294">
      <x:c r="A2294" t="str">
        <x:v>TLALPAN</x:v>
      </x:c>
      <x:c r="B2294" t="str">
        <x:v>El Charco</x:v>
      </x:c>
      <x:c r="C2294" t="str">
        <x:v>Mujer</x:v>
      </x:c>
      <x:c r="D2294" t="str">
        <x:v>g) 30 a 34 años</x:v>
      </x:c>
      <x:c r="E2294" s="1" t="n">
        <x:v>22</x:v>
      </x:c>
    </x:row>
    <x:row r="2295">
      <x:c r="A2295" t="str">
        <x:v>TLALPAN</x:v>
      </x:c>
      <x:c r="B2295" t="str">
        <x:v>El Charco</x:v>
      </x:c>
      <x:c r="C2295" t="str">
        <x:v>Mujer</x:v>
      </x:c>
      <x:c r="D2295" t="str">
        <x:v>h) 35 a 39 años</x:v>
      </x:c>
      <x:c r="E2295" s="1" t="n">
        <x:v>27</x:v>
      </x:c>
    </x:row>
    <x:row r="2296">
      <x:c r="A2296" t="str">
        <x:v>TLALPAN</x:v>
      </x:c>
      <x:c r="B2296" t="str">
        <x:v>El Charco</x:v>
      </x:c>
      <x:c r="C2296" t="str">
        <x:v>Mujer</x:v>
      </x:c>
      <x:c r="D2296" t="str">
        <x:v>i) 40 a 44 años</x:v>
      </x:c>
      <x:c r="E2296" s="1" t="n">
        <x:v>37</x:v>
      </x:c>
    </x:row>
    <x:row r="2297">
      <x:c r="A2297" t="str">
        <x:v>TLALPAN</x:v>
      </x:c>
      <x:c r="B2297" t="str">
        <x:v>El Charco</x:v>
      </x:c>
      <x:c r="C2297" t="str">
        <x:v>Mujer</x:v>
      </x:c>
      <x:c r="D2297" t="str">
        <x:v>j) 45 a 49 años</x:v>
      </x:c>
      <x:c r="E2297" s="1" t="n">
        <x:v>31</x:v>
      </x:c>
    </x:row>
    <x:row r="2298">
      <x:c r="A2298" t="str">
        <x:v>TLALPAN</x:v>
      </x:c>
      <x:c r="B2298" t="str">
        <x:v>El Charco</x:v>
      </x:c>
      <x:c r="C2298" t="str">
        <x:v>Mujer</x:v>
      </x:c>
      <x:c r="D2298" t="str">
        <x:v>k) 50 a 54 años</x:v>
      </x:c>
      <x:c r="E2298" s="1" t="n">
        <x:v>24</x:v>
      </x:c>
    </x:row>
    <x:row r="2299">
      <x:c r="A2299" t="str">
        <x:v>TLALPAN</x:v>
      </x:c>
      <x:c r="B2299" t="str">
        <x:v>El Charco</x:v>
      </x:c>
      <x:c r="C2299" t="str">
        <x:v>Mujer</x:v>
      </x:c>
      <x:c r="D2299" t="str">
        <x:v>l) 55 a 59 años</x:v>
      </x:c>
      <x:c r="E2299" s="1" t="n">
        <x:v>15</x:v>
      </x:c>
    </x:row>
    <x:row r="2300">
      <x:c r="A2300" t="str">
        <x:v>TLALPAN</x:v>
      </x:c>
      <x:c r="B2300" t="str">
        <x:v>El Charco</x:v>
      </x:c>
      <x:c r="C2300" t="str">
        <x:v>Mujer</x:v>
      </x:c>
      <x:c r="D2300" t="str">
        <x:v>m) 60 a 64 años</x:v>
      </x:c>
      <x:c r="E2300" s="1" t="n">
        <x:v>12</x:v>
      </x:c>
    </x:row>
    <x:row r="2301">
      <x:c r="A2301" t="str">
        <x:v>TLALPAN</x:v>
      </x:c>
      <x:c r="B2301" t="str">
        <x:v>El Charco</x:v>
      </x:c>
      <x:c r="C2301" t="str">
        <x:v>Mujer</x:v>
      </x:c>
      <x:c r="D2301" t="str">
        <x:v>n) 65 a 69 años</x:v>
      </x:c>
      <x:c r="E2301" s="1" t="n">
        <x:v>5</x:v>
      </x:c>
    </x:row>
    <x:row r="2302">
      <x:c r="A2302" t="str">
        <x:v>TLALPAN</x:v>
      </x:c>
      <x:c r="B2302" t="str">
        <x:v>El Charco</x:v>
      </x:c>
      <x:c r="C2302" t="str">
        <x:v>Mujer</x:v>
      </x:c>
      <x:c r="D2302" t="str">
        <x:v>o) 70 a 74 años</x:v>
      </x:c>
      <x:c r="E2302" s="1" t="n">
        <x:v>3</x:v>
      </x:c>
    </x:row>
    <x:row r="2303">
      <x:c r="A2303" t="str">
        <x:v>TLALPAN</x:v>
      </x:c>
      <x:c r="B2303" t="str">
        <x:v>El Charco</x:v>
      </x:c>
      <x:c r="C2303" t="str">
        <x:v>Mujer</x:v>
      </x:c>
      <x:c r="D2303" t="str">
        <x:v>p) 75 a 79 años</x:v>
      </x:c>
      <x:c r="E2303" s="1" t="n">
        <x:v>0</x:v>
      </x:c>
    </x:row>
    <x:row r="2304">
      <x:c r="A2304" t="str">
        <x:v>TLALPAN</x:v>
      </x:c>
      <x:c r="B2304" t="str">
        <x:v>El Charco</x:v>
      </x:c>
      <x:c r="C2304" t="str">
        <x:v>Mujer</x:v>
      </x:c>
      <x:c r="D2304" t="str">
        <x:v>q) 80 a 84 años</x:v>
      </x:c>
      <x:c r="E2304" s="1" t="n">
        <x:v>1</x:v>
      </x:c>
    </x:row>
    <x:row r="2305">
      <x:c r="A2305" t="str">
        <x:v>TLALPAN</x:v>
      </x:c>
      <x:c r="B2305" t="str">
        <x:v>El Charco</x:v>
      </x:c>
      <x:c r="C2305" t="str">
        <x:v>Mujer</x:v>
      </x:c>
      <x:c r="D2305" t="str">
        <x:v>r) 85 años y más</x:v>
      </x:c>
      <x:c r="E2305" s="1" t="n">
        <x:v>1</x:v>
      </x:c>
    </x:row>
    <x:row r="2306">
      <x:c r="A2306" t="str">
        <x:v>TLALPAN</x:v>
      </x:c>
      <x:c r="B2306" t="str">
        <x:v>Cuanejaque</x:v>
      </x:c>
      <x:c r="C2306" t="str">
        <x:v>Hombre</x:v>
      </x:c>
      <x:c r="D2306" t="str">
        <x:v>a) 0 a 4 años</x:v>
      </x:c>
      <x:c r="E2306" s="1" t="n">
        <x:v>5</x:v>
      </x:c>
    </x:row>
    <x:row r="2307">
      <x:c r="A2307" t="str">
        <x:v>TLALPAN</x:v>
      </x:c>
      <x:c r="B2307" t="str">
        <x:v>Cuanejaque</x:v>
      </x:c>
      <x:c r="C2307" t="str">
        <x:v>Hombre</x:v>
      </x:c>
      <x:c r="D2307" t="str">
        <x:v>b) 5 a 9 años</x:v>
      </x:c>
      <x:c r="E2307" s="1" t="n">
        <x:v>17</x:v>
      </x:c>
    </x:row>
    <x:row r="2308">
      <x:c r="A2308" t="str">
        <x:v>TLALPAN</x:v>
      </x:c>
      <x:c r="B2308" t="str">
        <x:v>Cuanejaque</x:v>
      </x:c>
      <x:c r="C2308" t="str">
        <x:v>Hombre</x:v>
      </x:c>
      <x:c r="D2308" t="str">
        <x:v>c) 10 a 14 años</x:v>
      </x:c>
      <x:c r="E2308" s="1" t="n">
        <x:v>8</x:v>
      </x:c>
    </x:row>
    <x:row r="2309">
      <x:c r="A2309" t="str">
        <x:v>TLALPAN</x:v>
      </x:c>
      <x:c r="B2309" t="str">
        <x:v>Cuanejaque</x:v>
      </x:c>
      <x:c r="C2309" t="str">
        <x:v>Hombre</x:v>
      </x:c>
      <x:c r="D2309" t="str">
        <x:v>d) 15 a 19 años</x:v>
      </x:c>
      <x:c r="E2309" s="1" t="n">
        <x:v>6</x:v>
      </x:c>
    </x:row>
    <x:row r="2310">
      <x:c r="A2310" t="str">
        <x:v>TLALPAN</x:v>
      </x:c>
      <x:c r="B2310" t="str">
        <x:v>Cuanejaque</x:v>
      </x:c>
      <x:c r="C2310" t="str">
        <x:v>Hombre</x:v>
      </x:c>
      <x:c r="D2310" t="str">
        <x:v>e) 20 a 24 años</x:v>
      </x:c>
      <x:c r="E2310" s="1" t="n">
        <x:v>13</x:v>
      </x:c>
    </x:row>
    <x:row r="2311">
      <x:c r="A2311" t="str">
        <x:v>TLALPAN</x:v>
      </x:c>
      <x:c r="B2311" t="str">
        <x:v>Cuanejaque</x:v>
      </x:c>
      <x:c r="C2311" t="str">
        <x:v>Hombre</x:v>
      </x:c>
      <x:c r="D2311" t="str">
        <x:v>f) 25 a 29 años</x:v>
      </x:c>
      <x:c r="E2311" s="1" t="n">
        <x:v>10</x:v>
      </x:c>
    </x:row>
    <x:row r="2312">
      <x:c r="A2312" t="str">
        <x:v>TLALPAN</x:v>
      </x:c>
      <x:c r="B2312" t="str">
        <x:v>Cuanejaque</x:v>
      </x:c>
      <x:c r="C2312" t="str">
        <x:v>Hombre</x:v>
      </x:c>
      <x:c r="D2312" t="str">
        <x:v>g) 30 a 34 años</x:v>
      </x:c>
      <x:c r="E2312" s="1" t="n">
        <x:v>6</x:v>
      </x:c>
    </x:row>
    <x:row r="2313">
      <x:c r="A2313" t="str">
        <x:v>TLALPAN</x:v>
      </x:c>
      <x:c r="B2313" t="str">
        <x:v>Cuanejaque</x:v>
      </x:c>
      <x:c r="C2313" t="str">
        <x:v>Hombre</x:v>
      </x:c>
      <x:c r="D2313" t="str">
        <x:v>h) 35 a 39 años</x:v>
      </x:c>
      <x:c r="E2313" s="1" t="n">
        <x:v>7</x:v>
      </x:c>
    </x:row>
    <x:row r="2314">
      <x:c r="A2314" t="str">
        <x:v>TLALPAN</x:v>
      </x:c>
      <x:c r="B2314" t="str">
        <x:v>Cuanejaque</x:v>
      </x:c>
      <x:c r="C2314" t="str">
        <x:v>Hombre</x:v>
      </x:c>
      <x:c r="D2314" t="str">
        <x:v>i) 40 a 44 años</x:v>
      </x:c>
      <x:c r="E2314" s="1" t="n">
        <x:v>8</x:v>
      </x:c>
    </x:row>
    <x:row r="2315">
      <x:c r="A2315" t="str">
        <x:v>TLALPAN</x:v>
      </x:c>
      <x:c r="B2315" t="str">
        <x:v>Cuanejaque</x:v>
      </x:c>
      <x:c r="C2315" t="str">
        <x:v>Hombre</x:v>
      </x:c>
      <x:c r="D2315" t="str">
        <x:v>j) 45 a 49 años</x:v>
      </x:c>
      <x:c r="E2315" s="1" t="n">
        <x:v>6</x:v>
      </x:c>
    </x:row>
    <x:row r="2316">
      <x:c r="A2316" t="str">
        <x:v>TLALPAN</x:v>
      </x:c>
      <x:c r="B2316" t="str">
        <x:v>Cuanejaque</x:v>
      </x:c>
      <x:c r="C2316" t="str">
        <x:v>Hombre</x:v>
      </x:c>
      <x:c r="D2316" t="str">
        <x:v>k) 50 a 54 años</x:v>
      </x:c>
      <x:c r="E2316" s="1" t="n">
        <x:v>14</x:v>
      </x:c>
    </x:row>
    <x:row r="2317">
      <x:c r="A2317" t="str">
        <x:v>TLALPAN</x:v>
      </x:c>
      <x:c r="B2317" t="str">
        <x:v>Cuanejaque</x:v>
      </x:c>
      <x:c r="C2317" t="str">
        <x:v>Hombre</x:v>
      </x:c>
      <x:c r="D2317" t="str">
        <x:v>l) 55 a 59 años</x:v>
      </x:c>
      <x:c r="E2317" s="1" t="n">
        <x:v>6</x:v>
      </x:c>
    </x:row>
    <x:row r="2318">
      <x:c r="A2318" t="str">
        <x:v>TLALPAN</x:v>
      </x:c>
      <x:c r="B2318" t="str">
        <x:v>Cuanejaque</x:v>
      </x:c>
      <x:c r="C2318" t="str">
        <x:v>Hombre</x:v>
      </x:c>
      <x:c r="D2318" t="str">
        <x:v>m) 60 a 64 años</x:v>
      </x:c>
      <x:c r="E2318" s="1" t="n">
        <x:v>5</x:v>
      </x:c>
    </x:row>
    <x:row r="2319">
      <x:c r="A2319" t="str">
        <x:v>TLALPAN</x:v>
      </x:c>
      <x:c r="B2319" t="str">
        <x:v>Cuanejaque</x:v>
      </x:c>
      <x:c r="C2319" t="str">
        <x:v>Hombre</x:v>
      </x:c>
      <x:c r="D2319" t="str">
        <x:v>n) 65 a 69 años</x:v>
      </x:c>
      <x:c r="E2319" s="1" t="n">
        <x:v>5</x:v>
      </x:c>
    </x:row>
    <x:row r="2320">
      <x:c r="A2320" t="str">
        <x:v>TLALPAN</x:v>
      </x:c>
      <x:c r="B2320" t="str">
        <x:v>Cuanejaque</x:v>
      </x:c>
      <x:c r="C2320" t="str">
        <x:v>Hombre</x:v>
      </x:c>
      <x:c r="D2320" t="str">
        <x:v>o) 70 a 74 años</x:v>
      </x:c>
      <x:c r="E2320" s="1" t="n">
        <x:v>3</x:v>
      </x:c>
    </x:row>
    <x:row r="2321">
      <x:c r="A2321" t="str">
        <x:v>TLALPAN</x:v>
      </x:c>
      <x:c r="B2321" t="str">
        <x:v>Cuanejaque</x:v>
      </x:c>
      <x:c r="C2321" t="str">
        <x:v>Hombre</x:v>
      </x:c>
      <x:c r="D2321" t="str">
        <x:v>p) 75 a 79 años</x:v>
      </x:c>
      <x:c r="E2321" s="1" t="n">
        <x:v>4</x:v>
      </x:c>
    </x:row>
    <x:row r="2322">
      <x:c r="A2322" t="str">
        <x:v>TLALPAN</x:v>
      </x:c>
      <x:c r="B2322" t="str">
        <x:v>Cuanejaque</x:v>
      </x:c>
      <x:c r="C2322" t="str">
        <x:v>Hombre</x:v>
      </x:c>
      <x:c r="D2322" t="str">
        <x:v>q) 80 a 84 años</x:v>
      </x:c>
      <x:c r="E2322" s="1" t="n">
        <x:v>1</x:v>
      </x:c>
    </x:row>
    <x:row r="2323">
      <x:c r="A2323" t="str">
        <x:v>TLALPAN</x:v>
      </x:c>
      <x:c r="B2323" t="str">
        <x:v>Cuanejaque</x:v>
      </x:c>
      <x:c r="C2323" t="str">
        <x:v>Hombre</x:v>
      </x:c>
      <x:c r="D2323" t="str">
        <x:v>r) 85 años y más</x:v>
      </x:c>
      <x:c r="E2323" s="1" t="n">
        <x:v>0</x:v>
      </x:c>
    </x:row>
    <x:row r="2324">
      <x:c r="A2324" t="str">
        <x:v>TLALPAN</x:v>
      </x:c>
      <x:c r="B2324" t="str">
        <x:v>Cuanejaque</x:v>
      </x:c>
      <x:c r="C2324" t="str">
        <x:v>Mujer</x:v>
      </x:c>
      <x:c r="D2324" t="str">
        <x:v>a) 0 a 4 años</x:v>
      </x:c>
      <x:c r="E2324" s="1" t="n">
        <x:v>8</x:v>
      </x:c>
    </x:row>
    <x:row r="2325">
      <x:c r="A2325" t="str">
        <x:v>TLALPAN</x:v>
      </x:c>
      <x:c r="B2325" t="str">
        <x:v>Cuanejaque</x:v>
      </x:c>
      <x:c r="C2325" t="str">
        <x:v>Mujer</x:v>
      </x:c>
      <x:c r="D2325" t="str">
        <x:v>b) 5 a 9 años</x:v>
      </x:c>
      <x:c r="E2325" s="1" t="n">
        <x:v>9</x:v>
      </x:c>
    </x:row>
    <x:row r="2326">
      <x:c r="A2326" t="str">
        <x:v>TLALPAN</x:v>
      </x:c>
      <x:c r="B2326" t="str">
        <x:v>Cuanejaque</x:v>
      </x:c>
      <x:c r="C2326" t="str">
        <x:v>Mujer</x:v>
      </x:c>
      <x:c r="D2326" t="str">
        <x:v>c) 10 a 14 años</x:v>
      </x:c>
      <x:c r="E2326" s="1" t="n">
        <x:v>10</x:v>
      </x:c>
    </x:row>
    <x:row r="2327">
      <x:c r="A2327" t="str">
        <x:v>TLALPAN</x:v>
      </x:c>
      <x:c r="B2327" t="str">
        <x:v>Cuanejaque</x:v>
      </x:c>
      <x:c r="C2327" t="str">
        <x:v>Mujer</x:v>
      </x:c>
      <x:c r="D2327" t="str">
        <x:v>d) 15 a 19 años</x:v>
      </x:c>
      <x:c r="E2327" s="1" t="n">
        <x:v>2</x:v>
      </x:c>
    </x:row>
    <x:row r="2328">
      <x:c r="A2328" t="str">
        <x:v>TLALPAN</x:v>
      </x:c>
      <x:c r="B2328" t="str">
        <x:v>Cuanejaque</x:v>
      </x:c>
      <x:c r="C2328" t="str">
        <x:v>Mujer</x:v>
      </x:c>
      <x:c r="D2328" t="str">
        <x:v>e) 20 a 24 años</x:v>
      </x:c>
      <x:c r="E2328" s="1" t="n">
        <x:v>9</x:v>
      </x:c>
    </x:row>
    <x:row r="2329">
      <x:c r="A2329" t="str">
        <x:v>TLALPAN</x:v>
      </x:c>
      <x:c r="B2329" t="str">
        <x:v>Cuanejaque</x:v>
      </x:c>
      <x:c r="C2329" t="str">
        <x:v>Mujer</x:v>
      </x:c>
      <x:c r="D2329" t="str">
        <x:v>f) 25 a 29 años</x:v>
      </x:c>
      <x:c r="E2329" s="1" t="n">
        <x:v>12</x:v>
      </x:c>
    </x:row>
    <x:row r="2330">
      <x:c r="A2330" t="str">
        <x:v>TLALPAN</x:v>
      </x:c>
      <x:c r="B2330" t="str">
        <x:v>Cuanejaque</x:v>
      </x:c>
      <x:c r="C2330" t="str">
        <x:v>Mujer</x:v>
      </x:c>
      <x:c r="D2330" t="str">
        <x:v>g) 30 a 34 años</x:v>
      </x:c>
      <x:c r="E2330" s="1" t="n">
        <x:v>12</x:v>
      </x:c>
    </x:row>
    <x:row r="2331">
      <x:c r="A2331" t="str">
        <x:v>TLALPAN</x:v>
      </x:c>
      <x:c r="B2331" t="str">
        <x:v>Cuanejaque</x:v>
      </x:c>
      <x:c r="C2331" t="str">
        <x:v>Mujer</x:v>
      </x:c>
      <x:c r="D2331" t="str">
        <x:v>h) 35 a 39 años</x:v>
      </x:c>
      <x:c r="E2331" s="1" t="n">
        <x:v>7</x:v>
      </x:c>
    </x:row>
    <x:row r="2332">
      <x:c r="A2332" t="str">
        <x:v>TLALPAN</x:v>
      </x:c>
      <x:c r="B2332" t="str">
        <x:v>Cuanejaque</x:v>
      </x:c>
      <x:c r="C2332" t="str">
        <x:v>Mujer</x:v>
      </x:c>
      <x:c r="D2332" t="str">
        <x:v>i) 40 a 44 años</x:v>
      </x:c>
      <x:c r="E2332" s="1" t="n">
        <x:v>4</x:v>
      </x:c>
    </x:row>
    <x:row r="2333">
      <x:c r="A2333" t="str">
        <x:v>TLALPAN</x:v>
      </x:c>
      <x:c r="B2333" t="str">
        <x:v>Cuanejaque</x:v>
      </x:c>
      <x:c r="C2333" t="str">
        <x:v>Mujer</x:v>
      </x:c>
      <x:c r="D2333" t="str">
        <x:v>j) 45 a 49 años</x:v>
      </x:c>
      <x:c r="E2333" s="1" t="n">
        <x:v>11</x:v>
      </x:c>
    </x:row>
    <x:row r="2334">
      <x:c r="A2334" t="str">
        <x:v>TLALPAN</x:v>
      </x:c>
      <x:c r="B2334" t="str">
        <x:v>Cuanejaque</x:v>
      </x:c>
      <x:c r="C2334" t="str">
        <x:v>Mujer</x:v>
      </x:c>
      <x:c r="D2334" t="str">
        <x:v>k) 50 a 54 años</x:v>
      </x:c>
      <x:c r="E2334" s="1" t="n">
        <x:v>11</x:v>
      </x:c>
    </x:row>
    <x:row r="2335">
      <x:c r="A2335" t="str">
        <x:v>TLALPAN</x:v>
      </x:c>
      <x:c r="B2335" t="str">
        <x:v>Cuanejaque</x:v>
      </x:c>
      <x:c r="C2335" t="str">
        <x:v>Mujer</x:v>
      </x:c>
      <x:c r="D2335" t="str">
        <x:v>l) 55 a 59 años</x:v>
      </x:c>
      <x:c r="E2335" s="1" t="n">
        <x:v>5</x:v>
      </x:c>
    </x:row>
    <x:row r="2336">
      <x:c r="A2336" t="str">
        <x:v>TLALPAN</x:v>
      </x:c>
      <x:c r="B2336" t="str">
        <x:v>Cuanejaque</x:v>
      </x:c>
      <x:c r="C2336" t="str">
        <x:v>Mujer</x:v>
      </x:c>
      <x:c r="D2336" t="str">
        <x:v>m) 60 a 64 años</x:v>
      </x:c>
      <x:c r="E2336" s="1" t="n">
        <x:v>1</x:v>
      </x:c>
    </x:row>
    <x:row r="2337">
      <x:c r="A2337" t="str">
        <x:v>TLALPAN</x:v>
      </x:c>
      <x:c r="B2337" t="str">
        <x:v>Cuanejaque</x:v>
      </x:c>
      <x:c r="C2337" t="str">
        <x:v>Mujer</x:v>
      </x:c>
      <x:c r="D2337" t="str">
        <x:v>n) 65 a 69 años</x:v>
      </x:c>
      <x:c r="E2337" s="1" t="n">
        <x:v>4</x:v>
      </x:c>
    </x:row>
    <x:row r="2338">
      <x:c r="A2338" t="str">
        <x:v>TLALPAN</x:v>
      </x:c>
      <x:c r="B2338" t="str">
        <x:v>Cuanejaque</x:v>
      </x:c>
      <x:c r="C2338" t="str">
        <x:v>Mujer</x:v>
      </x:c>
      <x:c r="D2338" t="str">
        <x:v>o) 70 a 74 años</x:v>
      </x:c>
      <x:c r="E2338" s="1" t="n">
        <x:v>5</x:v>
      </x:c>
    </x:row>
    <x:row r="2339">
      <x:c r="A2339" t="str">
        <x:v>TLALPAN</x:v>
      </x:c>
      <x:c r="B2339" t="str">
        <x:v>Cuanejaque</x:v>
      </x:c>
      <x:c r="C2339" t="str">
        <x:v>Mujer</x:v>
      </x:c>
      <x:c r="D2339" t="str">
        <x:v>p) 75 a 79 años</x:v>
      </x:c>
      <x:c r="E2339" s="1" t="n">
        <x:v>3</x:v>
      </x:c>
    </x:row>
    <x:row r="2340">
      <x:c r="A2340" t="str">
        <x:v>TLALPAN</x:v>
      </x:c>
      <x:c r="B2340" t="str">
        <x:v>Cuanejaque</x:v>
      </x:c>
      <x:c r="C2340" t="str">
        <x:v>Mujer</x:v>
      </x:c>
      <x:c r="D2340" t="str">
        <x:v>q) 80 a 84 años</x:v>
      </x:c>
      <x:c r="E2340" s="1" t="n">
        <x:v>1</x:v>
      </x:c>
    </x:row>
    <x:row r="2341">
      <x:c r="A2341" t="str">
        <x:v>TLALPAN</x:v>
      </x:c>
      <x:c r="B2341" t="str">
        <x:v>Cuanejaque</x:v>
      </x:c>
      <x:c r="C2341" t="str">
        <x:v>Mujer</x:v>
      </x:c>
      <x:c r="D2341" t="str">
        <x:v>r) 85 años y más</x:v>
      </x:c>
      <x:c r="E2341" s="1" t="n">
        <x:v>1</x:v>
      </x:c>
    </x:row>
    <x:row r="2342">
      <x:c r="A2342" t="str">
        <x:v>TLALPAN</x:v>
      </x:c>
      <x:c r="B2342" t="str">
        <x:v>Nopaltitla</x:v>
      </x:c>
      <x:c r="C2342" t="str">
        <x:v>Hombre</x:v>
      </x:c>
      <x:c r="D2342" t="str">
        <x:v>a) 0 a 4 años</x:v>
      </x:c>
      <x:c r="E2342" s="1" t="n">
        <x:v>38</x:v>
      </x:c>
    </x:row>
    <x:row r="2343">
      <x:c r="A2343" t="str">
        <x:v>TLALPAN</x:v>
      </x:c>
      <x:c r="B2343" t="str">
        <x:v>Nopaltitla</x:v>
      </x:c>
      <x:c r="C2343" t="str">
        <x:v>Hombre</x:v>
      </x:c>
      <x:c r="D2343" t="str">
        <x:v>b) 5 a 9 años</x:v>
      </x:c>
      <x:c r="E2343" s="1" t="n">
        <x:v>22</x:v>
      </x:c>
    </x:row>
    <x:row r="2344">
      <x:c r="A2344" t="str">
        <x:v>TLALPAN</x:v>
      </x:c>
      <x:c r="B2344" t="str">
        <x:v>Nopaltitla</x:v>
      </x:c>
      <x:c r="C2344" t="str">
        <x:v>Hombre</x:v>
      </x:c>
      <x:c r="D2344" t="str">
        <x:v>c) 10 a 14 años</x:v>
      </x:c>
      <x:c r="E2344" s="1" t="n">
        <x:v>29</x:v>
      </x:c>
    </x:row>
    <x:row r="2345">
      <x:c r="A2345" t="str">
        <x:v>TLALPAN</x:v>
      </x:c>
      <x:c r="B2345" t="str">
        <x:v>Nopaltitla</x:v>
      </x:c>
      <x:c r="C2345" t="str">
        <x:v>Hombre</x:v>
      </x:c>
      <x:c r="D2345" t="str">
        <x:v>d) 15 a 19 años</x:v>
      </x:c>
      <x:c r="E2345" s="1" t="n">
        <x:v>28</x:v>
      </x:c>
    </x:row>
    <x:row r="2346">
      <x:c r="A2346" t="str">
        <x:v>TLALPAN</x:v>
      </x:c>
      <x:c r="B2346" t="str">
        <x:v>Nopaltitla</x:v>
      </x:c>
      <x:c r="C2346" t="str">
        <x:v>Hombre</x:v>
      </x:c>
      <x:c r="D2346" t="str">
        <x:v>e) 20 a 24 años</x:v>
      </x:c>
      <x:c r="E2346" s="1" t="n">
        <x:v>23</x:v>
      </x:c>
    </x:row>
    <x:row r="2347">
      <x:c r="A2347" t="str">
        <x:v>TLALPAN</x:v>
      </x:c>
      <x:c r="B2347" t="str">
        <x:v>Nopaltitla</x:v>
      </x:c>
      <x:c r="C2347" t="str">
        <x:v>Hombre</x:v>
      </x:c>
      <x:c r="D2347" t="str">
        <x:v>f) 25 a 29 años</x:v>
      </x:c>
      <x:c r="E2347" s="1" t="n">
        <x:v>32</x:v>
      </x:c>
    </x:row>
    <x:row r="2348">
      <x:c r="A2348" t="str">
        <x:v>TLALPAN</x:v>
      </x:c>
      <x:c r="B2348" t="str">
        <x:v>Nopaltitla</x:v>
      </x:c>
      <x:c r="C2348" t="str">
        <x:v>Hombre</x:v>
      </x:c>
      <x:c r="D2348" t="str">
        <x:v>g) 30 a 34 años</x:v>
      </x:c>
      <x:c r="E2348" s="1" t="n">
        <x:v>28</x:v>
      </x:c>
    </x:row>
    <x:row r="2349">
      <x:c r="A2349" t="str">
        <x:v>TLALPAN</x:v>
      </x:c>
      <x:c r="B2349" t="str">
        <x:v>Nopaltitla</x:v>
      </x:c>
      <x:c r="C2349" t="str">
        <x:v>Hombre</x:v>
      </x:c>
      <x:c r="D2349" t="str">
        <x:v>h) 35 a 39 años</x:v>
      </x:c>
      <x:c r="E2349" s="1" t="n">
        <x:v>22</x:v>
      </x:c>
    </x:row>
    <x:row r="2350">
      <x:c r="A2350" t="str">
        <x:v>TLALPAN</x:v>
      </x:c>
      <x:c r="B2350" t="str">
        <x:v>Nopaltitla</x:v>
      </x:c>
      <x:c r="C2350" t="str">
        <x:v>Hombre</x:v>
      </x:c>
      <x:c r="D2350" t="str">
        <x:v>i) 40 a 44 años</x:v>
      </x:c>
      <x:c r="E2350" s="1" t="n">
        <x:v>26</x:v>
      </x:c>
    </x:row>
    <x:row r="2351">
      <x:c r="A2351" t="str">
        <x:v>TLALPAN</x:v>
      </x:c>
      <x:c r="B2351" t="str">
        <x:v>Nopaltitla</x:v>
      </x:c>
      <x:c r="C2351" t="str">
        <x:v>Hombre</x:v>
      </x:c>
      <x:c r="D2351" t="str">
        <x:v>j) 45 a 49 años</x:v>
      </x:c>
      <x:c r="E2351" s="1" t="n">
        <x:v>22</x:v>
      </x:c>
    </x:row>
    <x:row r="2352">
      <x:c r="A2352" t="str">
        <x:v>TLALPAN</x:v>
      </x:c>
      <x:c r="B2352" t="str">
        <x:v>Nopaltitla</x:v>
      </x:c>
      <x:c r="C2352" t="str">
        <x:v>Hombre</x:v>
      </x:c>
      <x:c r="D2352" t="str">
        <x:v>k) 50 a 54 años</x:v>
      </x:c>
      <x:c r="E2352" s="1" t="n">
        <x:v>20</x:v>
      </x:c>
    </x:row>
    <x:row r="2353">
      <x:c r="A2353" t="str">
        <x:v>TLALPAN</x:v>
      </x:c>
      <x:c r="B2353" t="str">
        <x:v>Nopaltitla</x:v>
      </x:c>
      <x:c r="C2353" t="str">
        <x:v>Hombre</x:v>
      </x:c>
      <x:c r="D2353" t="str">
        <x:v>l) 55 a 59 años</x:v>
      </x:c>
      <x:c r="E2353" s="1" t="n">
        <x:v>17</x:v>
      </x:c>
    </x:row>
    <x:row r="2354">
      <x:c r="A2354" t="str">
        <x:v>TLALPAN</x:v>
      </x:c>
      <x:c r="B2354" t="str">
        <x:v>Nopaltitla</x:v>
      </x:c>
      <x:c r="C2354" t="str">
        <x:v>Hombre</x:v>
      </x:c>
      <x:c r="D2354" t="str">
        <x:v>m) 60 a 64 años</x:v>
      </x:c>
      <x:c r="E2354" s="1" t="n">
        <x:v>8</x:v>
      </x:c>
    </x:row>
    <x:row r="2355">
      <x:c r="A2355" t="str">
        <x:v>TLALPAN</x:v>
      </x:c>
      <x:c r="B2355" t="str">
        <x:v>Nopaltitla</x:v>
      </x:c>
      <x:c r="C2355" t="str">
        <x:v>Hombre</x:v>
      </x:c>
      <x:c r="D2355" t="str">
        <x:v>n) 65 a 69 años</x:v>
      </x:c>
      <x:c r="E2355" s="1" t="n">
        <x:v>7</x:v>
      </x:c>
    </x:row>
    <x:row r="2356">
      <x:c r="A2356" t="str">
        <x:v>TLALPAN</x:v>
      </x:c>
      <x:c r="B2356" t="str">
        <x:v>Nopaltitla</x:v>
      </x:c>
      <x:c r="C2356" t="str">
        <x:v>Hombre</x:v>
      </x:c>
      <x:c r="D2356" t="str">
        <x:v>o) 70 a 74 años</x:v>
      </x:c>
      <x:c r="E2356" s="1" t="n">
        <x:v>4</x:v>
      </x:c>
    </x:row>
    <x:row r="2357">
      <x:c r="A2357" t="str">
        <x:v>TLALPAN</x:v>
      </x:c>
      <x:c r="B2357" t="str">
        <x:v>Nopaltitla</x:v>
      </x:c>
      <x:c r="C2357" t="str">
        <x:v>Hombre</x:v>
      </x:c>
      <x:c r="D2357" t="str">
        <x:v>p) 75 a 79 años</x:v>
      </x:c>
      <x:c r="E2357" s="1" t="n">
        <x:v>1</x:v>
      </x:c>
    </x:row>
    <x:row r="2358">
      <x:c r="A2358" t="str">
        <x:v>TLALPAN</x:v>
      </x:c>
      <x:c r="B2358" t="str">
        <x:v>Nopaltitla</x:v>
      </x:c>
      <x:c r="C2358" t="str">
        <x:v>Hombre</x:v>
      </x:c>
      <x:c r="D2358" t="str">
        <x:v>q) 80 a 84 años</x:v>
      </x:c>
      <x:c r="E2358" s="1" t="n">
        <x:v>2</x:v>
      </x:c>
    </x:row>
    <x:row r="2359">
      <x:c r="A2359" t="str">
        <x:v>TLALPAN</x:v>
      </x:c>
      <x:c r="B2359" t="str">
        <x:v>Nopaltitla</x:v>
      </x:c>
      <x:c r="C2359" t="str">
        <x:v>Hombre</x:v>
      </x:c>
      <x:c r="D2359" t="str">
        <x:v>r) 85 años y más</x:v>
      </x:c>
      <x:c r="E2359" s="1" t="n">
        <x:v>0</x:v>
      </x:c>
    </x:row>
    <x:row r="2360">
      <x:c r="A2360" t="str">
        <x:v>TLALPAN</x:v>
      </x:c>
      <x:c r="B2360" t="str">
        <x:v>Nopaltitla</x:v>
      </x:c>
      <x:c r="C2360" t="str">
        <x:v>Mujer</x:v>
      </x:c>
      <x:c r="D2360" t="str">
        <x:v>a) 0 a 4 años</x:v>
      </x:c>
      <x:c r="E2360" s="1" t="n">
        <x:v>22</x:v>
      </x:c>
    </x:row>
    <x:row r="2361">
      <x:c r="A2361" t="str">
        <x:v>TLALPAN</x:v>
      </x:c>
      <x:c r="B2361" t="str">
        <x:v>Nopaltitla</x:v>
      </x:c>
      <x:c r="C2361" t="str">
        <x:v>Mujer</x:v>
      </x:c>
      <x:c r="D2361" t="str">
        <x:v>b) 5 a 9 años</x:v>
      </x:c>
      <x:c r="E2361" s="1" t="n">
        <x:v>30</x:v>
      </x:c>
    </x:row>
    <x:row r="2362">
      <x:c r="A2362" t="str">
        <x:v>TLALPAN</x:v>
      </x:c>
      <x:c r="B2362" t="str">
        <x:v>Nopaltitla</x:v>
      </x:c>
      <x:c r="C2362" t="str">
        <x:v>Mujer</x:v>
      </x:c>
      <x:c r="D2362" t="str">
        <x:v>c) 10 a 14 años</x:v>
      </x:c>
      <x:c r="E2362" s="1" t="n">
        <x:v>28</x:v>
      </x:c>
    </x:row>
    <x:row r="2363">
      <x:c r="A2363" t="str">
        <x:v>TLALPAN</x:v>
      </x:c>
      <x:c r="B2363" t="str">
        <x:v>Nopaltitla</x:v>
      </x:c>
      <x:c r="C2363" t="str">
        <x:v>Mujer</x:v>
      </x:c>
      <x:c r="D2363" t="str">
        <x:v>d) 15 a 19 años</x:v>
      </x:c>
      <x:c r="E2363" s="1" t="n">
        <x:v>29</x:v>
      </x:c>
    </x:row>
    <x:row r="2364">
      <x:c r="A2364" t="str">
        <x:v>TLALPAN</x:v>
      </x:c>
      <x:c r="B2364" t="str">
        <x:v>Nopaltitla</x:v>
      </x:c>
      <x:c r="C2364" t="str">
        <x:v>Mujer</x:v>
      </x:c>
      <x:c r="D2364" t="str">
        <x:v>e) 20 a 24 años</x:v>
      </x:c>
      <x:c r="E2364" s="1" t="n">
        <x:v>38</x:v>
      </x:c>
    </x:row>
    <x:row r="2365">
      <x:c r="A2365" t="str">
        <x:v>TLALPAN</x:v>
      </x:c>
      <x:c r="B2365" t="str">
        <x:v>Nopaltitla</x:v>
      </x:c>
      <x:c r="C2365" t="str">
        <x:v>Mujer</x:v>
      </x:c>
      <x:c r="D2365" t="str">
        <x:v>f) 25 a 29 años</x:v>
      </x:c>
      <x:c r="E2365" s="1" t="n">
        <x:v>34</x:v>
      </x:c>
    </x:row>
    <x:row r="2366">
      <x:c r="A2366" t="str">
        <x:v>TLALPAN</x:v>
      </x:c>
      <x:c r="B2366" t="str">
        <x:v>Nopaltitla</x:v>
      </x:c>
      <x:c r="C2366" t="str">
        <x:v>Mujer</x:v>
      </x:c>
      <x:c r="D2366" t="str">
        <x:v>g) 30 a 34 años</x:v>
      </x:c>
      <x:c r="E2366" s="1" t="n">
        <x:v>29</x:v>
      </x:c>
    </x:row>
    <x:row r="2367">
      <x:c r="A2367" t="str">
        <x:v>TLALPAN</x:v>
      </x:c>
      <x:c r="B2367" t="str">
        <x:v>Nopaltitla</x:v>
      </x:c>
      <x:c r="C2367" t="str">
        <x:v>Mujer</x:v>
      </x:c>
      <x:c r="D2367" t="str">
        <x:v>h) 35 a 39 años</x:v>
      </x:c>
      <x:c r="E2367" s="1" t="n">
        <x:v>26</x:v>
      </x:c>
    </x:row>
    <x:row r="2368">
      <x:c r="A2368" t="str">
        <x:v>TLALPAN</x:v>
      </x:c>
      <x:c r="B2368" t="str">
        <x:v>Nopaltitla</x:v>
      </x:c>
      <x:c r="C2368" t="str">
        <x:v>Mujer</x:v>
      </x:c>
      <x:c r="D2368" t="str">
        <x:v>i) 40 a 44 años</x:v>
      </x:c>
      <x:c r="E2368" s="1" t="n">
        <x:v>28</x:v>
      </x:c>
    </x:row>
    <x:row r="2369">
      <x:c r="A2369" t="str">
        <x:v>TLALPAN</x:v>
      </x:c>
      <x:c r="B2369" t="str">
        <x:v>Nopaltitla</x:v>
      </x:c>
      <x:c r="C2369" t="str">
        <x:v>Mujer</x:v>
      </x:c>
      <x:c r="D2369" t="str">
        <x:v>j) 45 a 49 años</x:v>
      </x:c>
      <x:c r="E2369" s="1" t="n">
        <x:v>20</x:v>
      </x:c>
    </x:row>
    <x:row r="2370">
      <x:c r="A2370" t="str">
        <x:v>TLALPAN</x:v>
      </x:c>
      <x:c r="B2370" t="str">
        <x:v>Nopaltitla</x:v>
      </x:c>
      <x:c r="C2370" t="str">
        <x:v>Mujer</x:v>
      </x:c>
      <x:c r="D2370" t="str">
        <x:v>k) 50 a 54 años</x:v>
      </x:c>
      <x:c r="E2370" s="1" t="n">
        <x:v>25</x:v>
      </x:c>
    </x:row>
    <x:row r="2371">
      <x:c r="A2371" t="str">
        <x:v>TLALPAN</x:v>
      </x:c>
      <x:c r="B2371" t="str">
        <x:v>Nopaltitla</x:v>
      </x:c>
      <x:c r="C2371" t="str">
        <x:v>Mujer</x:v>
      </x:c>
      <x:c r="D2371" t="str">
        <x:v>l) 55 a 59 años</x:v>
      </x:c>
      <x:c r="E2371" s="1" t="n">
        <x:v>12</x:v>
      </x:c>
    </x:row>
    <x:row r="2372">
      <x:c r="A2372" t="str">
        <x:v>TLALPAN</x:v>
      </x:c>
      <x:c r="B2372" t="str">
        <x:v>Nopaltitla</x:v>
      </x:c>
      <x:c r="C2372" t="str">
        <x:v>Mujer</x:v>
      </x:c>
      <x:c r="D2372" t="str">
        <x:v>m) 60 a 64 años</x:v>
      </x:c>
      <x:c r="E2372" s="1" t="n">
        <x:v>13</x:v>
      </x:c>
    </x:row>
    <x:row r="2373">
      <x:c r="A2373" t="str">
        <x:v>TLALPAN</x:v>
      </x:c>
      <x:c r="B2373" t="str">
        <x:v>Nopaltitla</x:v>
      </x:c>
      <x:c r="C2373" t="str">
        <x:v>Mujer</x:v>
      </x:c>
      <x:c r="D2373" t="str">
        <x:v>n) 65 a 69 años</x:v>
      </x:c>
      <x:c r="E2373" s="1" t="n">
        <x:v>3</x:v>
      </x:c>
    </x:row>
    <x:row r="2374">
      <x:c r="A2374" t="str">
        <x:v>TLALPAN</x:v>
      </x:c>
      <x:c r="B2374" t="str">
        <x:v>Nopaltitla</x:v>
      </x:c>
      <x:c r="C2374" t="str">
        <x:v>Mujer</x:v>
      </x:c>
      <x:c r="D2374" t="str">
        <x:v>o) 70 a 74 años</x:v>
      </x:c>
      <x:c r="E2374" s="1" t="n">
        <x:v>1</x:v>
      </x:c>
    </x:row>
    <x:row r="2375">
      <x:c r="A2375" t="str">
        <x:v>TLALPAN</x:v>
      </x:c>
      <x:c r="B2375" t="str">
        <x:v>Nopaltitla</x:v>
      </x:c>
      <x:c r="C2375" t="str">
        <x:v>Mujer</x:v>
      </x:c>
      <x:c r="D2375" t="str">
        <x:v>p) 75 a 79 años</x:v>
      </x:c>
      <x:c r="E2375" s="1" t="n">
        <x:v>1</x:v>
      </x:c>
    </x:row>
    <x:row r="2376">
      <x:c r="A2376" t="str">
        <x:v>TLALPAN</x:v>
      </x:c>
      <x:c r="B2376" t="str">
        <x:v>Nopaltitla</x:v>
      </x:c>
      <x:c r="C2376" t="str">
        <x:v>Mujer</x:v>
      </x:c>
      <x:c r="D2376" t="str">
        <x:v>q) 80 a 84 años</x:v>
      </x:c>
      <x:c r="E2376" s="1" t="n">
        <x:v>1</x:v>
      </x:c>
    </x:row>
    <x:row r="2377">
      <x:c r="A2377" t="str">
        <x:v>TLALPAN</x:v>
      </x:c>
      <x:c r="B2377" t="str">
        <x:v>Nopaltitla</x:v>
      </x:c>
      <x:c r="C2377" t="str">
        <x:v>Mujer</x:v>
      </x:c>
      <x:c r="D2377" t="str">
        <x:v>r) 85 años y más</x:v>
      </x:c>
      <x:c r="E2377" s="1" t="n">
        <x:v>0</x:v>
      </x:c>
    </x:row>
    <x:row r="2378">
      <x:c r="A2378" t="str">
        <x:v>TLALPAN</x:v>
      </x:c>
      <x:c r="B2378" t="str">
        <x:v>Ocotla Chico</x:v>
      </x:c>
      <x:c r="C2378" t="str">
        <x:v>Hombre</x:v>
      </x:c>
      <x:c r="D2378" t="str">
        <x:v>a) 0 a 4 años</x:v>
      </x:c>
      <x:c r="E2378" s="1" t="n">
        <x:v>37</x:v>
      </x:c>
    </x:row>
    <x:row r="2379">
      <x:c r="A2379" t="str">
        <x:v>TLALPAN</x:v>
      </x:c>
      <x:c r="B2379" t="str">
        <x:v>Ocotla Chico</x:v>
      </x:c>
      <x:c r="C2379" t="str">
        <x:v>Hombre</x:v>
      </x:c>
      <x:c r="D2379" t="str">
        <x:v>b) 5 a 9 años</x:v>
      </x:c>
      <x:c r="E2379" s="1" t="n">
        <x:v>52</x:v>
      </x:c>
    </x:row>
    <x:row r="2380">
      <x:c r="A2380" t="str">
        <x:v>TLALPAN</x:v>
      </x:c>
      <x:c r="B2380" t="str">
        <x:v>Ocotla Chico</x:v>
      </x:c>
      <x:c r="C2380" t="str">
        <x:v>Hombre</x:v>
      </x:c>
      <x:c r="D2380" t="str">
        <x:v>c) 10 a 14 años</x:v>
      </x:c>
      <x:c r="E2380" s="1" t="n">
        <x:v>51</x:v>
      </x:c>
    </x:row>
    <x:row r="2381">
      <x:c r="A2381" t="str">
        <x:v>TLALPAN</x:v>
      </x:c>
      <x:c r="B2381" t="str">
        <x:v>Ocotla Chico</x:v>
      </x:c>
      <x:c r="C2381" t="str">
        <x:v>Hombre</x:v>
      </x:c>
      <x:c r="D2381" t="str">
        <x:v>d) 15 a 19 años</x:v>
      </x:c>
      <x:c r="E2381" s="1" t="n">
        <x:v>42</x:v>
      </x:c>
    </x:row>
    <x:row r="2382">
      <x:c r="A2382" t="str">
        <x:v>TLALPAN</x:v>
      </x:c>
      <x:c r="B2382" t="str">
        <x:v>Ocotla Chico</x:v>
      </x:c>
      <x:c r="C2382" t="str">
        <x:v>Hombre</x:v>
      </x:c>
      <x:c r="D2382" t="str">
        <x:v>e) 20 a 24 años</x:v>
      </x:c>
      <x:c r="E2382" s="1" t="n">
        <x:v>35</x:v>
      </x:c>
    </x:row>
    <x:row r="2383">
      <x:c r="A2383" t="str">
        <x:v>TLALPAN</x:v>
      </x:c>
      <x:c r="B2383" t="str">
        <x:v>Ocotla Chico</x:v>
      </x:c>
      <x:c r="C2383" t="str">
        <x:v>Hombre</x:v>
      </x:c>
      <x:c r="D2383" t="str">
        <x:v>f) 25 a 29 años</x:v>
      </x:c>
      <x:c r="E2383" s="1" t="n">
        <x:v>38</x:v>
      </x:c>
    </x:row>
    <x:row r="2384">
      <x:c r="A2384" t="str">
        <x:v>TLALPAN</x:v>
      </x:c>
      <x:c r="B2384" t="str">
        <x:v>Ocotla Chico</x:v>
      </x:c>
      <x:c r="C2384" t="str">
        <x:v>Hombre</x:v>
      </x:c>
      <x:c r="D2384" t="str">
        <x:v>g) 30 a 34 años</x:v>
      </x:c>
      <x:c r="E2384" s="1" t="n">
        <x:v>35</x:v>
      </x:c>
    </x:row>
    <x:row r="2385">
      <x:c r="A2385" t="str">
        <x:v>TLALPAN</x:v>
      </x:c>
      <x:c r="B2385" t="str">
        <x:v>Ocotla Chico</x:v>
      </x:c>
      <x:c r="C2385" t="str">
        <x:v>Hombre</x:v>
      </x:c>
      <x:c r="D2385" t="str">
        <x:v>h) 35 a 39 años</x:v>
      </x:c>
      <x:c r="E2385" s="1" t="n">
        <x:v>31</x:v>
      </x:c>
    </x:row>
    <x:row r="2386">
      <x:c r="A2386" t="str">
        <x:v>TLALPAN</x:v>
      </x:c>
      <x:c r="B2386" t="str">
        <x:v>Ocotla Chico</x:v>
      </x:c>
      <x:c r="C2386" t="str">
        <x:v>Hombre</x:v>
      </x:c>
      <x:c r="D2386" t="str">
        <x:v>i) 40 a 44 años</x:v>
      </x:c>
      <x:c r="E2386" s="1" t="n">
        <x:v>34</x:v>
      </x:c>
    </x:row>
    <x:row r="2387">
      <x:c r="A2387" t="str">
        <x:v>TLALPAN</x:v>
      </x:c>
      <x:c r="B2387" t="str">
        <x:v>Ocotla Chico</x:v>
      </x:c>
      <x:c r="C2387" t="str">
        <x:v>Hombre</x:v>
      </x:c>
      <x:c r="D2387" t="str">
        <x:v>j) 45 a 49 años</x:v>
      </x:c>
      <x:c r="E2387" s="1" t="n">
        <x:v>40</x:v>
      </x:c>
    </x:row>
    <x:row r="2388">
      <x:c r="A2388" t="str">
        <x:v>TLALPAN</x:v>
      </x:c>
      <x:c r="B2388" t="str">
        <x:v>Ocotla Chico</x:v>
      </x:c>
      <x:c r="C2388" t="str">
        <x:v>Hombre</x:v>
      </x:c>
      <x:c r="D2388" t="str">
        <x:v>k) 50 a 54 años</x:v>
      </x:c>
      <x:c r="E2388" s="1" t="n">
        <x:v>25</x:v>
      </x:c>
    </x:row>
    <x:row r="2389">
      <x:c r="A2389" t="str">
        <x:v>TLALPAN</x:v>
      </x:c>
      <x:c r="B2389" t="str">
        <x:v>Ocotla Chico</x:v>
      </x:c>
      <x:c r="C2389" t="str">
        <x:v>Hombre</x:v>
      </x:c>
      <x:c r="D2389" t="str">
        <x:v>l) 55 a 59 años</x:v>
      </x:c>
      <x:c r="E2389" s="1" t="n">
        <x:v>12</x:v>
      </x:c>
    </x:row>
    <x:row r="2390">
      <x:c r="A2390" t="str">
        <x:v>TLALPAN</x:v>
      </x:c>
      <x:c r="B2390" t="str">
        <x:v>Ocotla Chico</x:v>
      </x:c>
      <x:c r="C2390" t="str">
        <x:v>Hombre</x:v>
      </x:c>
      <x:c r="D2390" t="str">
        <x:v>m) 60 a 64 años</x:v>
      </x:c>
      <x:c r="E2390" s="1" t="n">
        <x:v>14</x:v>
      </x:c>
    </x:row>
    <x:row r="2391">
      <x:c r="A2391" t="str">
        <x:v>TLALPAN</x:v>
      </x:c>
      <x:c r="B2391" t="str">
        <x:v>Ocotla Chico</x:v>
      </x:c>
      <x:c r="C2391" t="str">
        <x:v>Hombre</x:v>
      </x:c>
      <x:c r="D2391" t="str">
        <x:v>n) 65 a 69 años</x:v>
      </x:c>
      <x:c r="E2391" s="1" t="n">
        <x:v>2</x:v>
      </x:c>
    </x:row>
    <x:row r="2392">
      <x:c r="A2392" t="str">
        <x:v>TLALPAN</x:v>
      </x:c>
      <x:c r="B2392" t="str">
        <x:v>Ocotla Chico</x:v>
      </x:c>
      <x:c r="C2392" t="str">
        <x:v>Hombre</x:v>
      </x:c>
      <x:c r="D2392" t="str">
        <x:v>o) 70 a 74 años</x:v>
      </x:c>
      <x:c r="E2392" s="1" t="n">
        <x:v>6</x:v>
      </x:c>
    </x:row>
    <x:row r="2393">
      <x:c r="A2393" t="str">
        <x:v>TLALPAN</x:v>
      </x:c>
      <x:c r="B2393" t="str">
        <x:v>Ocotla Chico</x:v>
      </x:c>
      <x:c r="C2393" t="str">
        <x:v>Hombre</x:v>
      </x:c>
      <x:c r="D2393" t="str">
        <x:v>p) 75 a 79 años</x:v>
      </x:c>
      <x:c r="E2393" s="1" t="n">
        <x:v>2</x:v>
      </x:c>
    </x:row>
    <x:row r="2394">
      <x:c r="A2394" t="str">
        <x:v>TLALPAN</x:v>
      </x:c>
      <x:c r="B2394" t="str">
        <x:v>Ocotla Chico</x:v>
      </x:c>
      <x:c r="C2394" t="str">
        <x:v>Hombre</x:v>
      </x:c>
      <x:c r="D2394" t="str">
        <x:v>q) 80 a 84 años</x:v>
      </x:c>
      <x:c r="E2394" s="1" t="n">
        <x:v>1</x:v>
      </x:c>
    </x:row>
    <x:row r="2395">
      <x:c r="A2395" t="str">
        <x:v>TLALPAN</x:v>
      </x:c>
      <x:c r="B2395" t="str">
        <x:v>Ocotla Chico</x:v>
      </x:c>
      <x:c r="C2395" t="str">
        <x:v>Hombre</x:v>
      </x:c>
      <x:c r="D2395" t="str">
        <x:v>r) 85 años y más</x:v>
      </x:c>
      <x:c r="E2395" s="1" t="n">
        <x:v>1</x:v>
      </x:c>
    </x:row>
    <x:row r="2396">
      <x:c r="A2396" t="str">
        <x:v>TLALPAN</x:v>
      </x:c>
      <x:c r="B2396" t="str">
        <x:v>Ocotla Chico</x:v>
      </x:c>
      <x:c r="C2396" t="str">
        <x:v>Mujer</x:v>
      </x:c>
      <x:c r="D2396" t="str">
        <x:v>a) 0 a 4 años</x:v>
      </x:c>
      <x:c r="E2396" s="1" t="n">
        <x:v>28</x:v>
      </x:c>
    </x:row>
    <x:row r="2397">
      <x:c r="A2397" t="str">
        <x:v>TLALPAN</x:v>
      </x:c>
      <x:c r="B2397" t="str">
        <x:v>Ocotla Chico</x:v>
      </x:c>
      <x:c r="C2397" t="str">
        <x:v>Mujer</x:v>
      </x:c>
      <x:c r="D2397" t="str">
        <x:v>b) 5 a 9 años</x:v>
      </x:c>
      <x:c r="E2397" s="1" t="n">
        <x:v>54</x:v>
      </x:c>
    </x:row>
    <x:row r="2398">
      <x:c r="A2398" t="str">
        <x:v>TLALPAN</x:v>
      </x:c>
      <x:c r="B2398" t="str">
        <x:v>Ocotla Chico</x:v>
      </x:c>
      <x:c r="C2398" t="str">
        <x:v>Mujer</x:v>
      </x:c>
      <x:c r="D2398" t="str">
        <x:v>c) 10 a 14 años</x:v>
      </x:c>
      <x:c r="E2398" s="1" t="n">
        <x:v>50</x:v>
      </x:c>
    </x:row>
    <x:row r="2399">
      <x:c r="A2399" t="str">
        <x:v>TLALPAN</x:v>
      </x:c>
      <x:c r="B2399" t="str">
        <x:v>Ocotla Chico</x:v>
      </x:c>
      <x:c r="C2399" t="str">
        <x:v>Mujer</x:v>
      </x:c>
      <x:c r="D2399" t="str">
        <x:v>d) 15 a 19 años</x:v>
      </x:c>
      <x:c r="E2399" s="1" t="n">
        <x:v>38</x:v>
      </x:c>
    </x:row>
    <x:row r="2400">
      <x:c r="A2400" t="str">
        <x:v>TLALPAN</x:v>
      </x:c>
      <x:c r="B2400" t="str">
        <x:v>Ocotla Chico</x:v>
      </x:c>
      <x:c r="C2400" t="str">
        <x:v>Mujer</x:v>
      </x:c>
      <x:c r="D2400" t="str">
        <x:v>e) 20 a 24 años</x:v>
      </x:c>
      <x:c r="E2400" s="1" t="n">
        <x:v>43</x:v>
      </x:c>
    </x:row>
    <x:row r="2401">
      <x:c r="A2401" t="str">
        <x:v>TLALPAN</x:v>
      </x:c>
      <x:c r="B2401" t="str">
        <x:v>Ocotla Chico</x:v>
      </x:c>
      <x:c r="C2401" t="str">
        <x:v>Mujer</x:v>
      </x:c>
      <x:c r="D2401" t="str">
        <x:v>f) 25 a 29 años</x:v>
      </x:c>
      <x:c r="E2401" s="1" t="n">
        <x:v>29</x:v>
      </x:c>
    </x:row>
    <x:row r="2402">
      <x:c r="A2402" t="str">
        <x:v>TLALPAN</x:v>
      </x:c>
      <x:c r="B2402" t="str">
        <x:v>Ocotla Chico</x:v>
      </x:c>
      <x:c r="C2402" t="str">
        <x:v>Mujer</x:v>
      </x:c>
      <x:c r="D2402" t="str">
        <x:v>g) 30 a 34 años</x:v>
      </x:c>
      <x:c r="E2402" s="1" t="n">
        <x:v>44</x:v>
      </x:c>
    </x:row>
    <x:row r="2403">
      <x:c r="A2403" t="str">
        <x:v>TLALPAN</x:v>
      </x:c>
      <x:c r="B2403" t="str">
        <x:v>Ocotla Chico</x:v>
      </x:c>
      <x:c r="C2403" t="str">
        <x:v>Mujer</x:v>
      </x:c>
      <x:c r="D2403" t="str">
        <x:v>h) 35 a 39 años</x:v>
      </x:c>
      <x:c r="E2403" s="1" t="n">
        <x:v>37</x:v>
      </x:c>
    </x:row>
    <x:row r="2404">
      <x:c r="A2404" t="str">
        <x:v>TLALPAN</x:v>
      </x:c>
      <x:c r="B2404" t="str">
        <x:v>Ocotla Chico</x:v>
      </x:c>
      <x:c r="C2404" t="str">
        <x:v>Mujer</x:v>
      </x:c>
      <x:c r="D2404" t="str">
        <x:v>i) 40 a 44 años</x:v>
      </x:c>
      <x:c r="E2404" s="1" t="n">
        <x:v>43</x:v>
      </x:c>
    </x:row>
    <x:row r="2405">
      <x:c r="A2405" t="str">
        <x:v>TLALPAN</x:v>
      </x:c>
      <x:c r="B2405" t="str">
        <x:v>Ocotla Chico</x:v>
      </x:c>
      <x:c r="C2405" t="str">
        <x:v>Mujer</x:v>
      </x:c>
      <x:c r="D2405" t="str">
        <x:v>j) 45 a 49 años</x:v>
      </x:c>
      <x:c r="E2405" s="1" t="n">
        <x:v>34</x:v>
      </x:c>
    </x:row>
    <x:row r="2406">
      <x:c r="A2406" t="str">
        <x:v>TLALPAN</x:v>
      </x:c>
      <x:c r="B2406" t="str">
        <x:v>Ocotla Chico</x:v>
      </x:c>
      <x:c r="C2406" t="str">
        <x:v>Mujer</x:v>
      </x:c>
      <x:c r="D2406" t="str">
        <x:v>k) 50 a 54 años</x:v>
      </x:c>
      <x:c r="E2406" s="1" t="n">
        <x:v>18</x:v>
      </x:c>
    </x:row>
    <x:row r="2407">
      <x:c r="A2407" t="str">
        <x:v>TLALPAN</x:v>
      </x:c>
      <x:c r="B2407" t="str">
        <x:v>Ocotla Chico</x:v>
      </x:c>
      <x:c r="C2407" t="str">
        <x:v>Mujer</x:v>
      </x:c>
      <x:c r="D2407" t="str">
        <x:v>l) 55 a 59 años</x:v>
      </x:c>
      <x:c r="E2407" s="1" t="n">
        <x:v>27</x:v>
      </x:c>
    </x:row>
    <x:row r="2408">
      <x:c r="A2408" t="str">
        <x:v>TLALPAN</x:v>
      </x:c>
      <x:c r="B2408" t="str">
        <x:v>Ocotla Chico</x:v>
      </x:c>
      <x:c r="C2408" t="str">
        <x:v>Mujer</x:v>
      </x:c>
      <x:c r="D2408" t="str">
        <x:v>m) 60 a 64 años</x:v>
      </x:c>
      <x:c r="E2408" s="1" t="n">
        <x:v>15</x:v>
      </x:c>
    </x:row>
    <x:row r="2409">
      <x:c r="A2409" t="str">
        <x:v>TLALPAN</x:v>
      </x:c>
      <x:c r="B2409" t="str">
        <x:v>Ocotla Chico</x:v>
      </x:c>
      <x:c r="C2409" t="str">
        <x:v>Mujer</x:v>
      </x:c>
      <x:c r="D2409" t="str">
        <x:v>n) 65 a 69 años</x:v>
      </x:c>
      <x:c r="E2409" s="1" t="n">
        <x:v>9</x:v>
      </x:c>
    </x:row>
    <x:row r="2410">
      <x:c r="A2410" t="str">
        <x:v>TLALPAN</x:v>
      </x:c>
      <x:c r="B2410" t="str">
        <x:v>Ocotla Chico</x:v>
      </x:c>
      <x:c r="C2410" t="str">
        <x:v>Mujer</x:v>
      </x:c>
      <x:c r="D2410" t="str">
        <x:v>o) 70 a 74 años</x:v>
      </x:c>
      <x:c r="E2410" s="1" t="n">
        <x:v>9</x:v>
      </x:c>
    </x:row>
    <x:row r="2411">
      <x:c r="A2411" t="str">
        <x:v>TLALPAN</x:v>
      </x:c>
      <x:c r="B2411" t="str">
        <x:v>Ocotla Chico</x:v>
      </x:c>
      <x:c r="C2411" t="str">
        <x:v>Mujer</x:v>
      </x:c>
      <x:c r="D2411" t="str">
        <x:v>p) 75 a 79 años</x:v>
      </x:c>
      <x:c r="E2411" s="1" t="n">
        <x:v>5</x:v>
      </x:c>
    </x:row>
    <x:row r="2412">
      <x:c r="A2412" t="str">
        <x:v>TLALPAN</x:v>
      </x:c>
      <x:c r="B2412" t="str">
        <x:v>Ocotla Chico</x:v>
      </x:c>
      <x:c r="C2412" t="str">
        <x:v>Mujer</x:v>
      </x:c>
      <x:c r="D2412" t="str">
        <x:v>q) 80 a 84 años</x:v>
      </x:c>
      <x:c r="E2412" s="1" t="n">
        <x:v>0</x:v>
      </x:c>
    </x:row>
    <x:row r="2413">
      <x:c r="A2413" t="str">
        <x:v>TLALPAN</x:v>
      </x:c>
      <x:c r="B2413" t="str">
        <x:v>Ocotla Chico</x:v>
      </x:c>
      <x:c r="C2413" t="str">
        <x:v>Mujer</x:v>
      </x:c>
      <x:c r="D2413" t="str">
        <x:v>r) 85 años y más</x:v>
      </x:c>
      <x:c r="E2413" s="1" t="n">
        <x:v>2</x:v>
      </x:c>
    </x:row>
    <x:row r="2414">
      <x:c r="A2414" t="str">
        <x:v>TLALPAN</x:v>
      </x:c>
      <x:c r="B2414" t="str">
        <x:v>La Herradura</x:v>
      </x:c>
      <x:c r="C2414" t="str">
        <x:v>Hombre</x:v>
      </x:c>
      <x:c r="D2414" t="str">
        <x:v>a) 0 a 4 años</x:v>
      </x:c>
      <x:c r="E2414" s="1" t="n">
        <x:v>34</x:v>
      </x:c>
    </x:row>
    <x:row r="2415">
      <x:c r="A2415" t="str">
        <x:v>TLALPAN</x:v>
      </x:c>
      <x:c r="B2415" t="str">
        <x:v>La Herradura</x:v>
      </x:c>
      <x:c r="C2415" t="str">
        <x:v>Hombre</x:v>
      </x:c>
      <x:c r="D2415" t="str">
        <x:v>b) 5 a 9 años</x:v>
      </x:c>
      <x:c r="E2415" s="1" t="n">
        <x:v>41</x:v>
      </x:c>
    </x:row>
    <x:row r="2416">
      <x:c r="A2416" t="str">
        <x:v>TLALPAN</x:v>
      </x:c>
      <x:c r="B2416" t="str">
        <x:v>La Herradura</x:v>
      </x:c>
      <x:c r="C2416" t="str">
        <x:v>Hombre</x:v>
      </x:c>
      <x:c r="D2416" t="str">
        <x:v>c) 10 a 14 años</x:v>
      </x:c>
      <x:c r="E2416" s="1" t="n">
        <x:v>40</x:v>
      </x:c>
    </x:row>
    <x:row r="2417">
      <x:c r="A2417" t="str">
        <x:v>TLALPAN</x:v>
      </x:c>
      <x:c r="B2417" t="str">
        <x:v>La Herradura</x:v>
      </x:c>
      <x:c r="C2417" t="str">
        <x:v>Hombre</x:v>
      </x:c>
      <x:c r="D2417" t="str">
        <x:v>d) 15 a 19 años</x:v>
      </x:c>
      <x:c r="E2417" s="1" t="n">
        <x:v>44</x:v>
      </x:c>
    </x:row>
    <x:row r="2418">
      <x:c r="A2418" t="str">
        <x:v>TLALPAN</x:v>
      </x:c>
      <x:c r="B2418" t="str">
        <x:v>La Herradura</x:v>
      </x:c>
      <x:c r="C2418" t="str">
        <x:v>Hombre</x:v>
      </x:c>
      <x:c r="D2418" t="str">
        <x:v>e) 20 a 24 años</x:v>
      </x:c>
      <x:c r="E2418" s="1" t="n">
        <x:v>41</x:v>
      </x:c>
    </x:row>
    <x:row r="2419">
      <x:c r="A2419" t="str">
        <x:v>TLALPAN</x:v>
      </x:c>
      <x:c r="B2419" t="str">
        <x:v>La Herradura</x:v>
      </x:c>
      <x:c r="C2419" t="str">
        <x:v>Hombre</x:v>
      </x:c>
      <x:c r="D2419" t="str">
        <x:v>f) 25 a 29 años</x:v>
      </x:c>
      <x:c r="E2419" s="1" t="n">
        <x:v>40</x:v>
      </x:c>
    </x:row>
    <x:row r="2420">
      <x:c r="A2420" t="str">
        <x:v>TLALPAN</x:v>
      </x:c>
      <x:c r="B2420" t="str">
        <x:v>La Herradura</x:v>
      </x:c>
      <x:c r="C2420" t="str">
        <x:v>Hombre</x:v>
      </x:c>
      <x:c r="D2420" t="str">
        <x:v>g) 30 a 34 años</x:v>
      </x:c>
      <x:c r="E2420" s="1" t="n">
        <x:v>30</x:v>
      </x:c>
    </x:row>
    <x:row r="2421">
      <x:c r="A2421" t="str">
        <x:v>TLALPAN</x:v>
      </x:c>
      <x:c r="B2421" t="str">
        <x:v>La Herradura</x:v>
      </x:c>
      <x:c r="C2421" t="str">
        <x:v>Hombre</x:v>
      </x:c>
      <x:c r="D2421" t="str">
        <x:v>h) 35 a 39 años</x:v>
      </x:c>
      <x:c r="E2421" s="1" t="n">
        <x:v>33</x:v>
      </x:c>
    </x:row>
    <x:row r="2422">
      <x:c r="A2422" t="str">
        <x:v>TLALPAN</x:v>
      </x:c>
      <x:c r="B2422" t="str">
        <x:v>La Herradura</x:v>
      </x:c>
      <x:c r="C2422" t="str">
        <x:v>Hombre</x:v>
      </x:c>
      <x:c r="D2422" t="str">
        <x:v>i) 40 a 44 años</x:v>
      </x:c>
      <x:c r="E2422" s="1" t="n">
        <x:v>17</x:v>
      </x:c>
    </x:row>
    <x:row r="2423">
      <x:c r="A2423" t="str">
        <x:v>TLALPAN</x:v>
      </x:c>
      <x:c r="B2423" t="str">
        <x:v>La Herradura</x:v>
      </x:c>
      <x:c r="C2423" t="str">
        <x:v>Hombre</x:v>
      </x:c>
      <x:c r="D2423" t="str">
        <x:v>j) 45 a 49 años</x:v>
      </x:c>
      <x:c r="E2423" s="1" t="n">
        <x:v>23</x:v>
      </x:c>
    </x:row>
    <x:row r="2424">
      <x:c r="A2424" t="str">
        <x:v>TLALPAN</x:v>
      </x:c>
      <x:c r="B2424" t="str">
        <x:v>La Herradura</x:v>
      </x:c>
      <x:c r="C2424" t="str">
        <x:v>Hombre</x:v>
      </x:c>
      <x:c r="D2424" t="str">
        <x:v>k) 50 a 54 años</x:v>
      </x:c>
      <x:c r="E2424" s="1" t="n">
        <x:v>23</x:v>
      </x:c>
    </x:row>
    <x:row r="2425">
      <x:c r="A2425" t="str">
        <x:v>TLALPAN</x:v>
      </x:c>
      <x:c r="B2425" t="str">
        <x:v>La Herradura</x:v>
      </x:c>
      <x:c r="C2425" t="str">
        <x:v>Hombre</x:v>
      </x:c>
      <x:c r="D2425" t="str">
        <x:v>l) 55 a 59 años</x:v>
      </x:c>
      <x:c r="E2425" s="1" t="n">
        <x:v>17</x:v>
      </x:c>
    </x:row>
    <x:row r="2426">
      <x:c r="A2426" t="str">
        <x:v>TLALPAN</x:v>
      </x:c>
      <x:c r="B2426" t="str">
        <x:v>La Herradura</x:v>
      </x:c>
      <x:c r="C2426" t="str">
        <x:v>Hombre</x:v>
      </x:c>
      <x:c r="D2426" t="str">
        <x:v>m) 60 a 64 años</x:v>
      </x:c>
      <x:c r="E2426" s="1" t="n">
        <x:v>6</x:v>
      </x:c>
    </x:row>
    <x:row r="2427">
      <x:c r="A2427" t="str">
        <x:v>TLALPAN</x:v>
      </x:c>
      <x:c r="B2427" t="str">
        <x:v>La Herradura</x:v>
      </x:c>
      <x:c r="C2427" t="str">
        <x:v>Hombre</x:v>
      </x:c>
      <x:c r="D2427" t="str">
        <x:v>n) 65 a 69 años</x:v>
      </x:c>
      <x:c r="E2427" s="1" t="n">
        <x:v>11</x:v>
      </x:c>
    </x:row>
    <x:row r="2428">
      <x:c r="A2428" t="str">
        <x:v>TLALPAN</x:v>
      </x:c>
      <x:c r="B2428" t="str">
        <x:v>La Herradura</x:v>
      </x:c>
      <x:c r="C2428" t="str">
        <x:v>Hombre</x:v>
      </x:c>
      <x:c r="D2428" t="str">
        <x:v>o) 70 a 74 años</x:v>
      </x:c>
      <x:c r="E2428" s="1" t="n">
        <x:v>2</x:v>
      </x:c>
    </x:row>
    <x:row r="2429">
      <x:c r="A2429" t="str">
        <x:v>TLALPAN</x:v>
      </x:c>
      <x:c r="B2429" t="str">
        <x:v>La Herradura</x:v>
      </x:c>
      <x:c r="C2429" t="str">
        <x:v>Hombre</x:v>
      </x:c>
      <x:c r="D2429" t="str">
        <x:v>p) 75 a 79 años</x:v>
      </x:c>
      <x:c r="E2429" s="1" t="n">
        <x:v>2</x:v>
      </x:c>
    </x:row>
    <x:row r="2430">
      <x:c r="A2430" t="str">
        <x:v>TLALPAN</x:v>
      </x:c>
      <x:c r="B2430" t="str">
        <x:v>La Herradura</x:v>
      </x:c>
      <x:c r="C2430" t="str">
        <x:v>Hombre</x:v>
      </x:c>
      <x:c r="D2430" t="str">
        <x:v>q) 80 a 84 años</x:v>
      </x:c>
      <x:c r="E2430" s="1" t="n">
        <x:v>0</x:v>
      </x:c>
    </x:row>
    <x:row r="2431">
      <x:c r="A2431" t="str">
        <x:v>TLALPAN</x:v>
      </x:c>
      <x:c r="B2431" t="str">
        <x:v>La Herradura</x:v>
      </x:c>
      <x:c r="C2431" t="str">
        <x:v>Hombre</x:v>
      </x:c>
      <x:c r="D2431" t="str">
        <x:v>r) 85 años y más</x:v>
      </x:c>
      <x:c r="E2431" s="1" t="n">
        <x:v>0</x:v>
      </x:c>
    </x:row>
    <x:row r="2432">
      <x:c r="A2432" t="str">
        <x:v>TLALPAN</x:v>
      </x:c>
      <x:c r="B2432" t="str">
        <x:v>La Herradura</x:v>
      </x:c>
      <x:c r="C2432" t="str">
        <x:v>Mujer</x:v>
      </x:c>
      <x:c r="D2432" t="str">
        <x:v>a) 0 a 4 años</x:v>
      </x:c>
      <x:c r="E2432" s="1" t="n">
        <x:v>25</x:v>
      </x:c>
    </x:row>
    <x:row r="2433">
      <x:c r="A2433" t="str">
        <x:v>TLALPAN</x:v>
      </x:c>
      <x:c r="B2433" t="str">
        <x:v>La Herradura</x:v>
      </x:c>
      <x:c r="C2433" t="str">
        <x:v>Mujer</x:v>
      </x:c>
      <x:c r="D2433" t="str">
        <x:v>b) 5 a 9 años</x:v>
      </x:c>
      <x:c r="E2433" s="1" t="n">
        <x:v>42</x:v>
      </x:c>
    </x:row>
    <x:row r="2434">
      <x:c r="A2434" t="str">
        <x:v>TLALPAN</x:v>
      </x:c>
      <x:c r="B2434" t="str">
        <x:v>La Herradura</x:v>
      </x:c>
      <x:c r="C2434" t="str">
        <x:v>Mujer</x:v>
      </x:c>
      <x:c r="D2434" t="str">
        <x:v>c) 10 a 14 años</x:v>
      </x:c>
      <x:c r="E2434" s="1" t="n">
        <x:v>30</x:v>
      </x:c>
    </x:row>
    <x:row r="2435">
      <x:c r="A2435" t="str">
        <x:v>TLALPAN</x:v>
      </x:c>
      <x:c r="B2435" t="str">
        <x:v>La Herradura</x:v>
      </x:c>
      <x:c r="C2435" t="str">
        <x:v>Mujer</x:v>
      </x:c>
      <x:c r="D2435" t="str">
        <x:v>d) 15 a 19 años</x:v>
      </x:c>
      <x:c r="E2435" s="1" t="n">
        <x:v>37</x:v>
      </x:c>
    </x:row>
    <x:row r="2436">
      <x:c r="A2436" t="str">
        <x:v>TLALPAN</x:v>
      </x:c>
      <x:c r="B2436" t="str">
        <x:v>La Herradura</x:v>
      </x:c>
      <x:c r="C2436" t="str">
        <x:v>Mujer</x:v>
      </x:c>
      <x:c r="D2436" t="str">
        <x:v>e) 20 a 24 años</x:v>
      </x:c>
      <x:c r="E2436" s="1" t="n">
        <x:v>33</x:v>
      </x:c>
    </x:row>
    <x:row r="2437">
      <x:c r="A2437" t="str">
        <x:v>TLALPAN</x:v>
      </x:c>
      <x:c r="B2437" t="str">
        <x:v>La Herradura</x:v>
      </x:c>
      <x:c r="C2437" t="str">
        <x:v>Mujer</x:v>
      </x:c>
      <x:c r="D2437" t="str">
        <x:v>f) 25 a 29 años</x:v>
      </x:c>
      <x:c r="E2437" s="1" t="n">
        <x:v>34</x:v>
      </x:c>
    </x:row>
    <x:row r="2438">
      <x:c r="A2438" t="str">
        <x:v>TLALPAN</x:v>
      </x:c>
      <x:c r="B2438" t="str">
        <x:v>La Herradura</x:v>
      </x:c>
      <x:c r="C2438" t="str">
        <x:v>Mujer</x:v>
      </x:c>
      <x:c r="D2438" t="str">
        <x:v>g) 30 a 34 años</x:v>
      </x:c>
      <x:c r="E2438" s="1" t="n">
        <x:v>40</x:v>
      </x:c>
    </x:row>
    <x:row r="2439">
      <x:c r="A2439" t="str">
        <x:v>TLALPAN</x:v>
      </x:c>
      <x:c r="B2439" t="str">
        <x:v>La Herradura</x:v>
      </x:c>
      <x:c r="C2439" t="str">
        <x:v>Mujer</x:v>
      </x:c>
      <x:c r="D2439" t="str">
        <x:v>h) 35 a 39 años</x:v>
      </x:c>
      <x:c r="E2439" s="1" t="n">
        <x:v>30</x:v>
      </x:c>
    </x:row>
    <x:row r="2440">
      <x:c r="A2440" t="str">
        <x:v>TLALPAN</x:v>
      </x:c>
      <x:c r="B2440" t="str">
        <x:v>La Herradura</x:v>
      </x:c>
      <x:c r="C2440" t="str">
        <x:v>Mujer</x:v>
      </x:c>
      <x:c r="D2440" t="str">
        <x:v>i) 40 a 44 años</x:v>
      </x:c>
      <x:c r="E2440" s="1" t="n">
        <x:v>31</x:v>
      </x:c>
    </x:row>
    <x:row r="2441">
      <x:c r="A2441" t="str">
        <x:v>TLALPAN</x:v>
      </x:c>
      <x:c r="B2441" t="str">
        <x:v>La Herradura</x:v>
      </x:c>
      <x:c r="C2441" t="str">
        <x:v>Mujer</x:v>
      </x:c>
      <x:c r="D2441" t="str">
        <x:v>j) 45 a 49 años</x:v>
      </x:c>
      <x:c r="E2441" s="1" t="n">
        <x:v>25</x:v>
      </x:c>
    </x:row>
    <x:row r="2442">
      <x:c r="A2442" t="str">
        <x:v>TLALPAN</x:v>
      </x:c>
      <x:c r="B2442" t="str">
        <x:v>La Herradura</x:v>
      </x:c>
      <x:c r="C2442" t="str">
        <x:v>Mujer</x:v>
      </x:c>
      <x:c r="D2442" t="str">
        <x:v>k) 50 a 54 años</x:v>
      </x:c>
      <x:c r="E2442" s="1" t="n">
        <x:v>22</x:v>
      </x:c>
    </x:row>
    <x:row r="2443">
      <x:c r="A2443" t="str">
        <x:v>TLALPAN</x:v>
      </x:c>
      <x:c r="B2443" t="str">
        <x:v>La Herradura</x:v>
      </x:c>
      <x:c r="C2443" t="str">
        <x:v>Mujer</x:v>
      </x:c>
      <x:c r="D2443" t="str">
        <x:v>l) 55 a 59 años</x:v>
      </x:c>
      <x:c r="E2443" s="1" t="n">
        <x:v>12</x:v>
      </x:c>
    </x:row>
    <x:row r="2444">
      <x:c r="A2444" t="str">
        <x:v>TLALPAN</x:v>
      </x:c>
      <x:c r="B2444" t="str">
        <x:v>La Herradura</x:v>
      </x:c>
      <x:c r="C2444" t="str">
        <x:v>Mujer</x:v>
      </x:c>
      <x:c r="D2444" t="str">
        <x:v>m) 60 a 64 años</x:v>
      </x:c>
      <x:c r="E2444" s="1" t="n">
        <x:v>17</x:v>
      </x:c>
    </x:row>
    <x:row r="2445">
      <x:c r="A2445" t="str">
        <x:v>TLALPAN</x:v>
      </x:c>
      <x:c r="B2445" t="str">
        <x:v>La Herradura</x:v>
      </x:c>
      <x:c r="C2445" t="str">
        <x:v>Mujer</x:v>
      </x:c>
      <x:c r="D2445" t="str">
        <x:v>n) 65 a 69 años</x:v>
      </x:c>
      <x:c r="E2445" s="1" t="n">
        <x:v>4</x:v>
      </x:c>
    </x:row>
    <x:row r="2446">
      <x:c r="A2446" t="str">
        <x:v>TLALPAN</x:v>
      </x:c>
      <x:c r="B2446" t="str">
        <x:v>La Herradura</x:v>
      </x:c>
      <x:c r="C2446" t="str">
        <x:v>Mujer</x:v>
      </x:c>
      <x:c r="D2446" t="str">
        <x:v>o) 70 a 74 años</x:v>
      </x:c>
      <x:c r="E2446" s="1" t="n">
        <x:v>5</x:v>
      </x:c>
    </x:row>
    <x:row r="2447">
      <x:c r="A2447" t="str">
        <x:v>TLALPAN</x:v>
      </x:c>
      <x:c r="B2447" t="str">
        <x:v>La Herradura</x:v>
      </x:c>
      <x:c r="C2447" t="str">
        <x:v>Mujer</x:v>
      </x:c>
      <x:c r="D2447" t="str">
        <x:v>p) 75 a 79 años</x:v>
      </x:c>
      <x:c r="E2447" s="1" t="n">
        <x:v>0</x:v>
      </x:c>
    </x:row>
    <x:row r="2448">
      <x:c r="A2448" t="str">
        <x:v>TLALPAN</x:v>
      </x:c>
      <x:c r="B2448" t="str">
        <x:v>La Herradura</x:v>
      </x:c>
      <x:c r="C2448" t="str">
        <x:v>Mujer</x:v>
      </x:c>
      <x:c r="D2448" t="str">
        <x:v>q) 80 a 84 años</x:v>
      </x:c>
      <x:c r="E2448" s="1" t="n">
        <x:v>1</x:v>
      </x:c>
    </x:row>
    <x:row r="2449">
      <x:c r="A2449" t="str">
        <x:v>TLALPAN</x:v>
      </x:c>
      <x:c r="B2449" t="str">
        <x:v>La Herradura</x:v>
      </x:c>
      <x:c r="C2449" t="str">
        <x:v>Mujer</x:v>
      </x:c>
      <x:c r="D2449" t="str">
        <x:v>r) 85 años y más</x:v>
      </x:c>
      <x:c r="E2449" s="1" t="n">
        <x:v>1</x:v>
      </x:c>
    </x:row>
    <x:row r="2450">
      <x:c r="A2450" t="str">
        <x:v>TLALPAN</x:v>
      </x:c>
      <x:c r="B2450" t="str">
        <x:v>Colonia San Juan</x:v>
      </x:c>
      <x:c r="C2450" t="str">
        <x:v>Hombre</x:v>
      </x:c>
      <x:c r="D2450" t="str">
        <x:v>a) 0 a 4 años</x:v>
      </x:c>
      <x:c r="E2450" s="1" t="n">
        <x:v>7</x:v>
      </x:c>
    </x:row>
    <x:row r="2451">
      <x:c r="A2451" t="str">
        <x:v>TLALPAN</x:v>
      </x:c>
      <x:c r="B2451" t="str">
        <x:v>Colonia San Juan</x:v>
      </x:c>
      <x:c r="C2451" t="str">
        <x:v>Hombre</x:v>
      </x:c>
      <x:c r="D2451" t="str">
        <x:v>b) 5 a 9 años</x:v>
      </x:c>
      <x:c r="E2451" s="1" t="n">
        <x:v>19</x:v>
      </x:c>
    </x:row>
    <x:row r="2452">
      <x:c r="A2452" t="str">
        <x:v>TLALPAN</x:v>
      </x:c>
      <x:c r="B2452" t="str">
        <x:v>Colonia San Juan</x:v>
      </x:c>
      <x:c r="C2452" t="str">
        <x:v>Hombre</x:v>
      </x:c>
      <x:c r="D2452" t="str">
        <x:v>c) 10 a 14 años</x:v>
      </x:c>
      <x:c r="E2452" s="1" t="n">
        <x:v>13</x:v>
      </x:c>
    </x:row>
    <x:row r="2453">
      <x:c r="A2453" t="str">
        <x:v>TLALPAN</x:v>
      </x:c>
      <x:c r="B2453" t="str">
        <x:v>Colonia San Juan</x:v>
      </x:c>
      <x:c r="C2453" t="str">
        <x:v>Hombre</x:v>
      </x:c>
      <x:c r="D2453" t="str">
        <x:v>d) 15 a 19 años</x:v>
      </x:c>
      <x:c r="E2453" s="1" t="n">
        <x:v>11</x:v>
      </x:c>
    </x:row>
    <x:row r="2454">
      <x:c r="A2454" t="str">
        <x:v>TLALPAN</x:v>
      </x:c>
      <x:c r="B2454" t="str">
        <x:v>Colonia San Juan</x:v>
      </x:c>
      <x:c r="C2454" t="str">
        <x:v>Hombre</x:v>
      </x:c>
      <x:c r="D2454" t="str">
        <x:v>e) 20 a 24 años</x:v>
      </x:c>
      <x:c r="E2454" s="1" t="n">
        <x:v>11</x:v>
      </x:c>
    </x:row>
    <x:row r="2455">
      <x:c r="A2455" t="str">
        <x:v>TLALPAN</x:v>
      </x:c>
      <x:c r="B2455" t="str">
        <x:v>Colonia San Juan</x:v>
      </x:c>
      <x:c r="C2455" t="str">
        <x:v>Hombre</x:v>
      </x:c>
      <x:c r="D2455" t="str">
        <x:v>f) 25 a 29 años</x:v>
      </x:c>
      <x:c r="E2455" s="1" t="n">
        <x:v>11</x:v>
      </x:c>
    </x:row>
    <x:row r="2456">
      <x:c r="A2456" t="str">
        <x:v>TLALPAN</x:v>
      </x:c>
      <x:c r="B2456" t="str">
        <x:v>Colonia San Juan</x:v>
      </x:c>
      <x:c r="C2456" t="str">
        <x:v>Hombre</x:v>
      </x:c>
      <x:c r="D2456" t="str">
        <x:v>g) 30 a 34 años</x:v>
      </x:c>
      <x:c r="E2456" s="1" t="n">
        <x:v>3</x:v>
      </x:c>
    </x:row>
    <x:row r="2457">
      <x:c r="A2457" t="str">
        <x:v>TLALPAN</x:v>
      </x:c>
      <x:c r="B2457" t="str">
        <x:v>Colonia San Juan</x:v>
      </x:c>
      <x:c r="C2457" t="str">
        <x:v>Hombre</x:v>
      </x:c>
      <x:c r="D2457" t="str">
        <x:v>h) 35 a 39 años</x:v>
      </x:c>
      <x:c r="E2457" s="1" t="n">
        <x:v>7</x:v>
      </x:c>
    </x:row>
    <x:row r="2458">
      <x:c r="A2458" t="str">
        <x:v>TLALPAN</x:v>
      </x:c>
      <x:c r="B2458" t="str">
        <x:v>Colonia San Juan</x:v>
      </x:c>
      <x:c r="C2458" t="str">
        <x:v>Hombre</x:v>
      </x:c>
      <x:c r="D2458" t="str">
        <x:v>i) 40 a 44 años</x:v>
      </x:c>
      <x:c r="E2458" s="1" t="n">
        <x:v>10</x:v>
      </x:c>
    </x:row>
    <x:row r="2459">
      <x:c r="A2459" t="str">
        <x:v>TLALPAN</x:v>
      </x:c>
      <x:c r="B2459" t="str">
        <x:v>Colonia San Juan</x:v>
      </x:c>
      <x:c r="C2459" t="str">
        <x:v>Hombre</x:v>
      </x:c>
      <x:c r="D2459" t="str">
        <x:v>j) 45 a 49 años</x:v>
      </x:c>
      <x:c r="E2459" s="1" t="n">
        <x:v>5</x:v>
      </x:c>
    </x:row>
    <x:row r="2460">
      <x:c r="A2460" t="str">
        <x:v>TLALPAN</x:v>
      </x:c>
      <x:c r="B2460" t="str">
        <x:v>Colonia San Juan</x:v>
      </x:c>
      <x:c r="C2460" t="str">
        <x:v>Hombre</x:v>
      </x:c>
      <x:c r="D2460" t="str">
        <x:v>k) 50 a 54 años</x:v>
      </x:c>
      <x:c r="E2460" s="1" t="n">
        <x:v>7</x:v>
      </x:c>
    </x:row>
    <x:row r="2461">
      <x:c r="A2461" t="str">
        <x:v>TLALPAN</x:v>
      </x:c>
      <x:c r="B2461" t="str">
        <x:v>Colonia San Juan</x:v>
      </x:c>
      <x:c r="C2461" t="str">
        <x:v>Hombre</x:v>
      </x:c>
      <x:c r="D2461" t="str">
        <x:v>l) 55 a 59 años</x:v>
      </x:c>
      <x:c r="E2461" s="1" t="n">
        <x:v>9</x:v>
      </x:c>
    </x:row>
    <x:row r="2462">
      <x:c r="A2462" t="str">
        <x:v>TLALPAN</x:v>
      </x:c>
      <x:c r="B2462" t="str">
        <x:v>Colonia San Juan</x:v>
      </x:c>
      <x:c r="C2462" t="str">
        <x:v>Hombre</x:v>
      </x:c>
      <x:c r="D2462" t="str">
        <x:v>m) 60 a 64 años</x:v>
      </x:c>
      <x:c r="E2462" s="1" t="n">
        <x:v>3</x:v>
      </x:c>
    </x:row>
    <x:row r="2463">
      <x:c r="A2463" t="str">
        <x:v>TLALPAN</x:v>
      </x:c>
      <x:c r="B2463" t="str">
        <x:v>Colonia San Juan</x:v>
      </x:c>
      <x:c r="C2463" t="str">
        <x:v>Hombre</x:v>
      </x:c>
      <x:c r="D2463" t="str">
        <x:v>n) 65 a 69 años</x:v>
      </x:c>
      <x:c r="E2463" s="1" t="n">
        <x:v>2</x:v>
      </x:c>
    </x:row>
    <x:row r="2464">
      <x:c r="A2464" t="str">
        <x:v>TLALPAN</x:v>
      </x:c>
      <x:c r="B2464" t="str">
        <x:v>Colonia San Juan</x:v>
      </x:c>
      <x:c r="C2464" t="str">
        <x:v>Hombre</x:v>
      </x:c>
      <x:c r="D2464" t="str">
        <x:v>o) 70 a 74 años</x:v>
      </x:c>
      <x:c r="E2464" s="1" t="n">
        <x:v>2</x:v>
      </x:c>
    </x:row>
    <x:row r="2465">
      <x:c r="A2465" t="str">
        <x:v>TLALPAN</x:v>
      </x:c>
      <x:c r="B2465" t="str">
        <x:v>Colonia San Juan</x:v>
      </x:c>
      <x:c r="C2465" t="str">
        <x:v>Hombre</x:v>
      </x:c>
      <x:c r="D2465" t="str">
        <x:v>p) 75 a 79 años</x:v>
      </x:c>
      <x:c r="E2465" s="1" t="n">
        <x:v>0</x:v>
      </x:c>
    </x:row>
    <x:row r="2466">
      <x:c r="A2466" t="str">
        <x:v>TLALPAN</x:v>
      </x:c>
      <x:c r="B2466" t="str">
        <x:v>Colonia San Juan</x:v>
      </x:c>
      <x:c r="C2466" t="str">
        <x:v>Hombre</x:v>
      </x:c>
      <x:c r="D2466" t="str">
        <x:v>q) 80 a 84 años</x:v>
      </x:c>
      <x:c r="E2466" s="1" t="n">
        <x:v>0</x:v>
      </x:c>
    </x:row>
    <x:row r="2467">
      <x:c r="A2467" t="str">
        <x:v>TLALPAN</x:v>
      </x:c>
      <x:c r="B2467" t="str">
        <x:v>Colonia San Juan</x:v>
      </x:c>
      <x:c r="C2467" t="str">
        <x:v>Hombre</x:v>
      </x:c>
      <x:c r="D2467" t="str">
        <x:v>r) 85 años y más</x:v>
      </x:c>
      <x:c r="E2467" s="1" t="n">
        <x:v>0</x:v>
      </x:c>
    </x:row>
    <x:row r="2468">
      <x:c r="A2468" t="str">
        <x:v>TLALPAN</x:v>
      </x:c>
      <x:c r="B2468" t="str">
        <x:v>Colonia San Juan</x:v>
      </x:c>
      <x:c r="C2468" t="str">
        <x:v>Mujer</x:v>
      </x:c>
      <x:c r="D2468" t="str">
        <x:v>a) 0 a 4 años</x:v>
      </x:c>
      <x:c r="E2468" s="1" t="n">
        <x:v>8</x:v>
      </x:c>
    </x:row>
    <x:row r="2469">
      <x:c r="A2469" t="str">
        <x:v>TLALPAN</x:v>
      </x:c>
      <x:c r="B2469" t="str">
        <x:v>Colonia San Juan</x:v>
      </x:c>
      <x:c r="C2469" t="str">
        <x:v>Mujer</x:v>
      </x:c>
      <x:c r="D2469" t="str">
        <x:v>b) 5 a 9 años</x:v>
      </x:c>
      <x:c r="E2469" s="1" t="n">
        <x:v>10</x:v>
      </x:c>
    </x:row>
    <x:row r="2470">
      <x:c r="A2470" t="str">
        <x:v>TLALPAN</x:v>
      </x:c>
      <x:c r="B2470" t="str">
        <x:v>Colonia San Juan</x:v>
      </x:c>
      <x:c r="C2470" t="str">
        <x:v>Mujer</x:v>
      </x:c>
      <x:c r="D2470" t="str">
        <x:v>c) 10 a 14 años</x:v>
      </x:c>
      <x:c r="E2470" s="1" t="n">
        <x:v>8</x:v>
      </x:c>
    </x:row>
    <x:row r="2471">
      <x:c r="A2471" t="str">
        <x:v>TLALPAN</x:v>
      </x:c>
      <x:c r="B2471" t="str">
        <x:v>Colonia San Juan</x:v>
      </x:c>
      <x:c r="C2471" t="str">
        <x:v>Mujer</x:v>
      </x:c>
      <x:c r="D2471" t="str">
        <x:v>d) 15 a 19 años</x:v>
      </x:c>
      <x:c r="E2471" s="1" t="n">
        <x:v>5</x:v>
      </x:c>
    </x:row>
    <x:row r="2472">
      <x:c r="A2472" t="str">
        <x:v>TLALPAN</x:v>
      </x:c>
      <x:c r="B2472" t="str">
        <x:v>Colonia San Juan</x:v>
      </x:c>
      <x:c r="C2472" t="str">
        <x:v>Mujer</x:v>
      </x:c>
      <x:c r="D2472" t="str">
        <x:v>e) 20 a 24 años</x:v>
      </x:c>
      <x:c r="E2472" s="1" t="n">
        <x:v>7</x:v>
      </x:c>
    </x:row>
    <x:row r="2473">
      <x:c r="A2473" t="str">
        <x:v>TLALPAN</x:v>
      </x:c>
      <x:c r="B2473" t="str">
        <x:v>Colonia San Juan</x:v>
      </x:c>
      <x:c r="C2473" t="str">
        <x:v>Mujer</x:v>
      </x:c>
      <x:c r="D2473" t="str">
        <x:v>f) 25 a 29 años</x:v>
      </x:c>
      <x:c r="E2473" s="1" t="n">
        <x:v>8</x:v>
      </x:c>
    </x:row>
    <x:row r="2474">
      <x:c r="A2474" t="str">
        <x:v>TLALPAN</x:v>
      </x:c>
      <x:c r="B2474" t="str">
        <x:v>Colonia San Juan</x:v>
      </x:c>
      <x:c r="C2474" t="str">
        <x:v>Mujer</x:v>
      </x:c>
      <x:c r="D2474" t="str">
        <x:v>g) 30 a 34 años</x:v>
      </x:c>
      <x:c r="E2474" s="1" t="n">
        <x:v>14</x:v>
      </x:c>
    </x:row>
    <x:row r="2475">
      <x:c r="A2475" t="str">
        <x:v>TLALPAN</x:v>
      </x:c>
      <x:c r="B2475" t="str">
        <x:v>Colonia San Juan</x:v>
      </x:c>
      <x:c r="C2475" t="str">
        <x:v>Mujer</x:v>
      </x:c>
      <x:c r="D2475" t="str">
        <x:v>h) 35 a 39 años</x:v>
      </x:c>
      <x:c r="E2475" s="1" t="n">
        <x:v>5</x:v>
      </x:c>
    </x:row>
    <x:row r="2476">
      <x:c r="A2476" t="str">
        <x:v>TLALPAN</x:v>
      </x:c>
      <x:c r="B2476" t="str">
        <x:v>Colonia San Juan</x:v>
      </x:c>
      <x:c r="C2476" t="str">
        <x:v>Mujer</x:v>
      </x:c>
      <x:c r="D2476" t="str">
        <x:v>i) 40 a 44 años</x:v>
      </x:c>
      <x:c r="E2476" s="1" t="n">
        <x:v>11</x:v>
      </x:c>
    </x:row>
    <x:row r="2477">
      <x:c r="A2477" t="str">
        <x:v>TLALPAN</x:v>
      </x:c>
      <x:c r="B2477" t="str">
        <x:v>Colonia San Juan</x:v>
      </x:c>
      <x:c r="C2477" t="str">
        <x:v>Mujer</x:v>
      </x:c>
      <x:c r="D2477" t="str">
        <x:v>j) 45 a 49 años</x:v>
      </x:c>
      <x:c r="E2477" s="1" t="n">
        <x:v>4</x:v>
      </x:c>
    </x:row>
    <x:row r="2478">
      <x:c r="A2478" t="str">
        <x:v>TLALPAN</x:v>
      </x:c>
      <x:c r="B2478" t="str">
        <x:v>Colonia San Juan</x:v>
      </x:c>
      <x:c r="C2478" t="str">
        <x:v>Mujer</x:v>
      </x:c>
      <x:c r="D2478" t="str">
        <x:v>k) 50 a 54 años</x:v>
      </x:c>
      <x:c r="E2478" s="1" t="n">
        <x:v>4</x:v>
      </x:c>
    </x:row>
    <x:row r="2479">
      <x:c r="A2479" t="str">
        <x:v>TLALPAN</x:v>
      </x:c>
      <x:c r="B2479" t="str">
        <x:v>Colonia San Juan</x:v>
      </x:c>
      <x:c r="C2479" t="str">
        <x:v>Mujer</x:v>
      </x:c>
      <x:c r="D2479" t="str">
        <x:v>l) 55 a 59 años</x:v>
      </x:c>
      <x:c r="E2479" s="1" t="n">
        <x:v>6</x:v>
      </x:c>
    </x:row>
    <x:row r="2480">
      <x:c r="A2480" t="str">
        <x:v>TLALPAN</x:v>
      </x:c>
      <x:c r="B2480" t="str">
        <x:v>Colonia San Juan</x:v>
      </x:c>
      <x:c r="C2480" t="str">
        <x:v>Mujer</x:v>
      </x:c>
      <x:c r="D2480" t="str">
        <x:v>m) 60 a 64 años</x:v>
      </x:c>
      <x:c r="E2480" s="1" t="n">
        <x:v>2</x:v>
      </x:c>
    </x:row>
    <x:row r="2481">
      <x:c r="A2481" t="str">
        <x:v>TLALPAN</x:v>
      </x:c>
      <x:c r="B2481" t="str">
        <x:v>Colonia San Juan</x:v>
      </x:c>
      <x:c r="C2481" t="str">
        <x:v>Mujer</x:v>
      </x:c>
      <x:c r="D2481" t="str">
        <x:v>n) 65 a 69 años</x:v>
      </x:c>
      <x:c r="E2481" s="1" t="n">
        <x:v>4</x:v>
      </x:c>
    </x:row>
    <x:row r="2482">
      <x:c r="A2482" t="str">
        <x:v>TLALPAN</x:v>
      </x:c>
      <x:c r="B2482" t="str">
        <x:v>Colonia San Juan</x:v>
      </x:c>
      <x:c r="C2482" t="str">
        <x:v>Mujer</x:v>
      </x:c>
      <x:c r="D2482" t="str">
        <x:v>o) 70 a 74 años</x:v>
      </x:c>
      <x:c r="E2482" s="1" t="n">
        <x:v>1</x:v>
      </x:c>
    </x:row>
    <x:row r="2483">
      <x:c r="A2483" t="str">
        <x:v>TLALPAN</x:v>
      </x:c>
      <x:c r="B2483" t="str">
        <x:v>Colonia San Juan</x:v>
      </x:c>
      <x:c r="C2483" t="str">
        <x:v>Mujer</x:v>
      </x:c>
      <x:c r="D2483" t="str">
        <x:v>p) 75 a 79 años</x:v>
      </x:c>
      <x:c r="E2483" s="1" t="n">
        <x:v>0</x:v>
      </x:c>
    </x:row>
    <x:row r="2484">
      <x:c r="A2484" t="str">
        <x:v>TLALPAN</x:v>
      </x:c>
      <x:c r="B2484" t="str">
        <x:v>Colonia San Juan</x:v>
      </x:c>
      <x:c r="C2484" t="str">
        <x:v>Mujer</x:v>
      </x:c>
      <x:c r="D2484" t="str">
        <x:v>q) 80 a 84 años</x:v>
      </x:c>
      <x:c r="E2484" s="1" t="n">
        <x:v>2</x:v>
      </x:c>
    </x:row>
    <x:row r="2485">
      <x:c r="A2485" t="str">
        <x:v>TLALPAN</x:v>
      </x:c>
      <x:c r="B2485" t="str">
        <x:v>Colonia San Juan</x:v>
      </x:c>
      <x:c r="C2485" t="str">
        <x:v>Mujer</x:v>
      </x:c>
      <x:c r="D2485" t="str">
        <x:v>r) 85 años y más</x:v>
      </x:c>
      <x:c r="E2485" s="1" t="n">
        <x:v>0</x:v>
      </x:c>
    </x:row>
    <x:row r="2486">
      <x:c r="A2486" t="str">
        <x:v>TLALPAN</x:v>
      </x:c>
      <x:c r="B2486" t="str">
        <x:v>Colonia Aguayoto</x:v>
      </x:c>
      <x:c r="C2486" t="str">
        <x:v>Hombre</x:v>
      </x:c>
      <x:c r="D2486" t="str">
        <x:v>a) 0 a 4 años</x:v>
      </x:c>
      <x:c r="E2486" s="1" t="n">
        <x:v>7</x:v>
      </x:c>
    </x:row>
    <x:row r="2487">
      <x:c r="A2487" t="str">
        <x:v>TLALPAN</x:v>
      </x:c>
      <x:c r="B2487" t="str">
        <x:v>Colonia Aguayoto</x:v>
      </x:c>
      <x:c r="C2487" t="str">
        <x:v>Hombre</x:v>
      </x:c>
      <x:c r="D2487" t="str">
        <x:v>b) 5 a 9 años</x:v>
      </x:c>
      <x:c r="E2487" s="1" t="n">
        <x:v>13</x:v>
      </x:c>
    </x:row>
    <x:row r="2488">
      <x:c r="A2488" t="str">
        <x:v>TLALPAN</x:v>
      </x:c>
      <x:c r="B2488" t="str">
        <x:v>Colonia Aguayoto</x:v>
      </x:c>
      <x:c r="C2488" t="str">
        <x:v>Hombre</x:v>
      </x:c>
      <x:c r="D2488" t="str">
        <x:v>c) 10 a 14 años</x:v>
      </x:c>
      <x:c r="E2488" s="1" t="n">
        <x:v>19</x:v>
      </x:c>
    </x:row>
    <x:row r="2489">
      <x:c r="A2489" t="str">
        <x:v>TLALPAN</x:v>
      </x:c>
      <x:c r="B2489" t="str">
        <x:v>Colonia Aguayoto</x:v>
      </x:c>
      <x:c r="C2489" t="str">
        <x:v>Hombre</x:v>
      </x:c>
      <x:c r="D2489" t="str">
        <x:v>d) 15 a 19 años</x:v>
      </x:c>
      <x:c r="E2489" s="1" t="n">
        <x:v>12</x:v>
      </x:c>
    </x:row>
    <x:row r="2490">
      <x:c r="A2490" t="str">
        <x:v>TLALPAN</x:v>
      </x:c>
      <x:c r="B2490" t="str">
        <x:v>Colonia Aguayoto</x:v>
      </x:c>
      <x:c r="C2490" t="str">
        <x:v>Hombre</x:v>
      </x:c>
      <x:c r="D2490" t="str">
        <x:v>e) 20 a 24 años</x:v>
      </x:c>
      <x:c r="E2490" s="1" t="n">
        <x:v>9</x:v>
      </x:c>
    </x:row>
    <x:row r="2491">
      <x:c r="A2491" t="str">
        <x:v>TLALPAN</x:v>
      </x:c>
      <x:c r="B2491" t="str">
        <x:v>Colonia Aguayoto</x:v>
      </x:c>
      <x:c r="C2491" t="str">
        <x:v>Hombre</x:v>
      </x:c>
      <x:c r="D2491" t="str">
        <x:v>f) 25 a 29 años</x:v>
      </x:c>
      <x:c r="E2491" s="1" t="n">
        <x:v>16</x:v>
      </x:c>
    </x:row>
    <x:row r="2492">
      <x:c r="A2492" t="str">
        <x:v>TLALPAN</x:v>
      </x:c>
      <x:c r="B2492" t="str">
        <x:v>Colonia Aguayoto</x:v>
      </x:c>
      <x:c r="C2492" t="str">
        <x:v>Hombre</x:v>
      </x:c>
      <x:c r="D2492" t="str">
        <x:v>g) 30 a 34 años</x:v>
      </x:c>
      <x:c r="E2492" s="1" t="n">
        <x:v>14</x:v>
      </x:c>
    </x:row>
    <x:row r="2493">
      <x:c r="A2493" t="str">
        <x:v>TLALPAN</x:v>
      </x:c>
      <x:c r="B2493" t="str">
        <x:v>Colonia Aguayoto</x:v>
      </x:c>
      <x:c r="C2493" t="str">
        <x:v>Hombre</x:v>
      </x:c>
      <x:c r="D2493" t="str">
        <x:v>h) 35 a 39 años</x:v>
      </x:c>
      <x:c r="E2493" s="1" t="n">
        <x:v>17</x:v>
      </x:c>
    </x:row>
    <x:row r="2494">
      <x:c r="A2494" t="str">
        <x:v>TLALPAN</x:v>
      </x:c>
      <x:c r="B2494" t="str">
        <x:v>Colonia Aguayoto</x:v>
      </x:c>
      <x:c r="C2494" t="str">
        <x:v>Hombre</x:v>
      </x:c>
      <x:c r="D2494" t="str">
        <x:v>i) 40 a 44 años</x:v>
      </x:c>
      <x:c r="E2494" s="1" t="n">
        <x:v>11</x:v>
      </x:c>
    </x:row>
    <x:row r="2495">
      <x:c r="A2495" t="str">
        <x:v>TLALPAN</x:v>
      </x:c>
      <x:c r="B2495" t="str">
        <x:v>Colonia Aguayoto</x:v>
      </x:c>
      <x:c r="C2495" t="str">
        <x:v>Hombre</x:v>
      </x:c>
      <x:c r="D2495" t="str">
        <x:v>j) 45 a 49 años</x:v>
      </x:c>
      <x:c r="E2495" s="1" t="n">
        <x:v>13</x:v>
      </x:c>
    </x:row>
    <x:row r="2496">
      <x:c r="A2496" t="str">
        <x:v>TLALPAN</x:v>
      </x:c>
      <x:c r="B2496" t="str">
        <x:v>Colonia Aguayoto</x:v>
      </x:c>
      <x:c r="C2496" t="str">
        <x:v>Hombre</x:v>
      </x:c>
      <x:c r="D2496" t="str">
        <x:v>k) 50 a 54 años</x:v>
      </x:c>
      <x:c r="E2496" s="1" t="n">
        <x:v>17</x:v>
      </x:c>
    </x:row>
    <x:row r="2497">
      <x:c r="A2497" t="str">
        <x:v>TLALPAN</x:v>
      </x:c>
      <x:c r="B2497" t="str">
        <x:v>Colonia Aguayoto</x:v>
      </x:c>
      <x:c r="C2497" t="str">
        <x:v>Hombre</x:v>
      </x:c>
      <x:c r="D2497" t="str">
        <x:v>l) 55 a 59 años</x:v>
      </x:c>
      <x:c r="E2497" s="1" t="n">
        <x:v>8</x:v>
      </x:c>
    </x:row>
    <x:row r="2498">
      <x:c r="A2498" t="str">
        <x:v>TLALPAN</x:v>
      </x:c>
      <x:c r="B2498" t="str">
        <x:v>Colonia Aguayoto</x:v>
      </x:c>
      <x:c r="C2498" t="str">
        <x:v>Hombre</x:v>
      </x:c>
      <x:c r="D2498" t="str">
        <x:v>m) 60 a 64 años</x:v>
      </x:c>
      <x:c r="E2498" s="1" t="n">
        <x:v>8</x:v>
      </x:c>
    </x:row>
    <x:row r="2499">
      <x:c r="A2499" t="str">
        <x:v>TLALPAN</x:v>
      </x:c>
      <x:c r="B2499" t="str">
        <x:v>Colonia Aguayoto</x:v>
      </x:c>
      <x:c r="C2499" t="str">
        <x:v>Hombre</x:v>
      </x:c>
      <x:c r="D2499" t="str">
        <x:v>n) 65 a 69 años</x:v>
      </x:c>
      <x:c r="E2499" s="1" t="n">
        <x:v>2</x:v>
      </x:c>
    </x:row>
    <x:row r="2500">
      <x:c r="A2500" t="str">
        <x:v>TLALPAN</x:v>
      </x:c>
      <x:c r="B2500" t="str">
        <x:v>Colonia Aguayoto</x:v>
      </x:c>
      <x:c r="C2500" t="str">
        <x:v>Hombre</x:v>
      </x:c>
      <x:c r="D2500" t="str">
        <x:v>o) 70 a 74 años</x:v>
      </x:c>
      <x:c r="E2500" s="1" t="n">
        <x:v>1</x:v>
      </x:c>
    </x:row>
    <x:row r="2501">
      <x:c r="A2501" t="str">
        <x:v>TLALPAN</x:v>
      </x:c>
      <x:c r="B2501" t="str">
        <x:v>Colonia Aguayoto</x:v>
      </x:c>
      <x:c r="C2501" t="str">
        <x:v>Hombre</x:v>
      </x:c>
      <x:c r="D2501" t="str">
        <x:v>p) 75 a 79 años</x:v>
      </x:c>
      <x:c r="E2501" s="1" t="n">
        <x:v>1</x:v>
      </x:c>
    </x:row>
    <x:row r="2502">
      <x:c r="A2502" t="str">
        <x:v>TLALPAN</x:v>
      </x:c>
      <x:c r="B2502" t="str">
        <x:v>Colonia Aguayoto</x:v>
      </x:c>
      <x:c r="C2502" t="str">
        <x:v>Hombre</x:v>
      </x:c>
      <x:c r="D2502" t="str">
        <x:v>q) 80 a 84 años</x:v>
      </x:c>
      <x:c r="E2502" s="1" t="n">
        <x:v>1</x:v>
      </x:c>
    </x:row>
    <x:row r="2503">
      <x:c r="A2503" t="str">
        <x:v>TLALPAN</x:v>
      </x:c>
      <x:c r="B2503" t="str">
        <x:v>Colonia Aguayoto</x:v>
      </x:c>
      <x:c r="C2503" t="str">
        <x:v>Hombre</x:v>
      </x:c>
      <x:c r="D2503" t="str">
        <x:v>r) 85 años y más</x:v>
      </x:c>
      <x:c r="E2503" s="1" t="n">
        <x:v>0</x:v>
      </x:c>
    </x:row>
    <x:row r="2504">
      <x:c r="A2504" t="str">
        <x:v>TLALPAN</x:v>
      </x:c>
      <x:c r="B2504" t="str">
        <x:v>Colonia Aguayoto</x:v>
      </x:c>
      <x:c r="C2504" t="str">
        <x:v>Mujer</x:v>
      </x:c>
      <x:c r="D2504" t="str">
        <x:v>a) 0 a 4 años</x:v>
      </x:c>
      <x:c r="E2504" s="1" t="n">
        <x:v>5</x:v>
      </x:c>
    </x:row>
    <x:row r="2505">
      <x:c r="A2505" t="str">
        <x:v>TLALPAN</x:v>
      </x:c>
      <x:c r="B2505" t="str">
        <x:v>Colonia Aguayoto</x:v>
      </x:c>
      <x:c r="C2505" t="str">
        <x:v>Mujer</x:v>
      </x:c>
      <x:c r="D2505" t="str">
        <x:v>b) 5 a 9 años</x:v>
      </x:c>
      <x:c r="E2505" s="1" t="n">
        <x:v>13</x:v>
      </x:c>
    </x:row>
    <x:row r="2506">
      <x:c r="A2506" t="str">
        <x:v>TLALPAN</x:v>
      </x:c>
      <x:c r="B2506" t="str">
        <x:v>Colonia Aguayoto</x:v>
      </x:c>
      <x:c r="C2506" t="str">
        <x:v>Mujer</x:v>
      </x:c>
      <x:c r="D2506" t="str">
        <x:v>c) 10 a 14 años</x:v>
      </x:c>
      <x:c r="E2506" s="1" t="n">
        <x:v>16</x:v>
      </x:c>
    </x:row>
    <x:row r="2507">
      <x:c r="A2507" t="str">
        <x:v>TLALPAN</x:v>
      </x:c>
      <x:c r="B2507" t="str">
        <x:v>Colonia Aguayoto</x:v>
      </x:c>
      <x:c r="C2507" t="str">
        <x:v>Mujer</x:v>
      </x:c>
      <x:c r="D2507" t="str">
        <x:v>d) 15 a 19 años</x:v>
      </x:c>
      <x:c r="E2507" s="1" t="n">
        <x:v>11</x:v>
      </x:c>
    </x:row>
    <x:row r="2508">
      <x:c r="A2508" t="str">
        <x:v>TLALPAN</x:v>
      </x:c>
      <x:c r="B2508" t="str">
        <x:v>Colonia Aguayoto</x:v>
      </x:c>
      <x:c r="C2508" t="str">
        <x:v>Mujer</x:v>
      </x:c>
      <x:c r="D2508" t="str">
        <x:v>e) 20 a 24 años</x:v>
      </x:c>
      <x:c r="E2508" s="1" t="n">
        <x:v>11</x:v>
      </x:c>
    </x:row>
    <x:row r="2509">
      <x:c r="A2509" t="str">
        <x:v>TLALPAN</x:v>
      </x:c>
      <x:c r="B2509" t="str">
        <x:v>Colonia Aguayoto</x:v>
      </x:c>
      <x:c r="C2509" t="str">
        <x:v>Mujer</x:v>
      </x:c>
      <x:c r="D2509" t="str">
        <x:v>f) 25 a 29 años</x:v>
      </x:c>
      <x:c r="E2509" s="1" t="n">
        <x:v>13</x:v>
      </x:c>
    </x:row>
    <x:row r="2510">
      <x:c r="A2510" t="str">
        <x:v>TLALPAN</x:v>
      </x:c>
      <x:c r="B2510" t="str">
        <x:v>Colonia Aguayoto</x:v>
      </x:c>
      <x:c r="C2510" t="str">
        <x:v>Mujer</x:v>
      </x:c>
      <x:c r="D2510" t="str">
        <x:v>g) 30 a 34 años</x:v>
      </x:c>
      <x:c r="E2510" s="1" t="n">
        <x:v>17</x:v>
      </x:c>
    </x:row>
    <x:row r="2511">
      <x:c r="A2511" t="str">
        <x:v>TLALPAN</x:v>
      </x:c>
      <x:c r="B2511" t="str">
        <x:v>Colonia Aguayoto</x:v>
      </x:c>
      <x:c r="C2511" t="str">
        <x:v>Mujer</x:v>
      </x:c>
      <x:c r="D2511" t="str">
        <x:v>h) 35 a 39 años</x:v>
      </x:c>
      <x:c r="E2511" s="1" t="n">
        <x:v>15</x:v>
      </x:c>
    </x:row>
    <x:row r="2512">
      <x:c r="A2512" t="str">
        <x:v>TLALPAN</x:v>
      </x:c>
      <x:c r="B2512" t="str">
        <x:v>Colonia Aguayoto</x:v>
      </x:c>
      <x:c r="C2512" t="str">
        <x:v>Mujer</x:v>
      </x:c>
      <x:c r="D2512" t="str">
        <x:v>i) 40 a 44 años</x:v>
      </x:c>
      <x:c r="E2512" s="1" t="n">
        <x:v>12</x:v>
      </x:c>
    </x:row>
    <x:row r="2513">
      <x:c r="A2513" t="str">
        <x:v>TLALPAN</x:v>
      </x:c>
      <x:c r="B2513" t="str">
        <x:v>Colonia Aguayoto</x:v>
      </x:c>
      <x:c r="C2513" t="str">
        <x:v>Mujer</x:v>
      </x:c>
      <x:c r="D2513" t="str">
        <x:v>j) 45 a 49 años</x:v>
      </x:c>
      <x:c r="E2513" s="1" t="n">
        <x:v>11</x:v>
      </x:c>
    </x:row>
    <x:row r="2514">
      <x:c r="A2514" t="str">
        <x:v>TLALPAN</x:v>
      </x:c>
      <x:c r="B2514" t="str">
        <x:v>Colonia Aguayoto</x:v>
      </x:c>
      <x:c r="C2514" t="str">
        <x:v>Mujer</x:v>
      </x:c>
      <x:c r="D2514" t="str">
        <x:v>k) 50 a 54 años</x:v>
      </x:c>
      <x:c r="E2514" s="1" t="n">
        <x:v>8</x:v>
      </x:c>
    </x:row>
    <x:row r="2515">
      <x:c r="A2515" t="str">
        <x:v>TLALPAN</x:v>
      </x:c>
      <x:c r="B2515" t="str">
        <x:v>Colonia Aguayoto</x:v>
      </x:c>
      <x:c r="C2515" t="str">
        <x:v>Mujer</x:v>
      </x:c>
      <x:c r="D2515" t="str">
        <x:v>l) 55 a 59 años</x:v>
      </x:c>
      <x:c r="E2515" s="1" t="n">
        <x:v>9</x:v>
      </x:c>
    </x:row>
    <x:row r="2516">
      <x:c r="A2516" t="str">
        <x:v>TLALPAN</x:v>
      </x:c>
      <x:c r="B2516" t="str">
        <x:v>Colonia Aguayoto</x:v>
      </x:c>
      <x:c r="C2516" t="str">
        <x:v>Mujer</x:v>
      </x:c>
      <x:c r="D2516" t="str">
        <x:v>m) 60 a 64 años</x:v>
      </x:c>
      <x:c r="E2516" s="1" t="n">
        <x:v>4</x:v>
      </x:c>
    </x:row>
    <x:row r="2517">
      <x:c r="A2517" t="str">
        <x:v>TLALPAN</x:v>
      </x:c>
      <x:c r="B2517" t="str">
        <x:v>Colonia Aguayoto</x:v>
      </x:c>
      <x:c r="C2517" t="str">
        <x:v>Mujer</x:v>
      </x:c>
      <x:c r="D2517" t="str">
        <x:v>n) 65 a 69 años</x:v>
      </x:c>
      <x:c r="E2517" s="1" t="n">
        <x:v>6</x:v>
      </x:c>
    </x:row>
    <x:row r="2518">
      <x:c r="A2518" t="str">
        <x:v>TLALPAN</x:v>
      </x:c>
      <x:c r="B2518" t="str">
        <x:v>Colonia Aguayoto</x:v>
      </x:c>
      <x:c r="C2518" t="str">
        <x:v>Mujer</x:v>
      </x:c>
      <x:c r="D2518" t="str">
        <x:v>o) 70 a 74 años</x:v>
      </x:c>
      <x:c r="E2518" s="1" t="n">
        <x:v>2</x:v>
      </x:c>
    </x:row>
    <x:row r="2519">
      <x:c r="A2519" t="str">
        <x:v>TLALPAN</x:v>
      </x:c>
      <x:c r="B2519" t="str">
        <x:v>Colonia Aguayoto</x:v>
      </x:c>
      <x:c r="C2519" t="str">
        <x:v>Mujer</x:v>
      </x:c>
      <x:c r="D2519" t="str">
        <x:v>p) 75 a 79 años</x:v>
      </x:c>
      <x:c r="E2519" s="1" t="n">
        <x:v>3</x:v>
      </x:c>
    </x:row>
    <x:row r="2520">
      <x:c r="A2520" t="str">
        <x:v>TLALPAN</x:v>
      </x:c>
      <x:c r="B2520" t="str">
        <x:v>Colonia Aguayoto</x:v>
      </x:c>
      <x:c r="C2520" t="str">
        <x:v>Mujer</x:v>
      </x:c>
      <x:c r="D2520" t="str">
        <x:v>q) 80 a 84 años</x:v>
      </x:c>
      <x:c r="E2520" s="1" t="n">
        <x:v>0</x:v>
      </x:c>
    </x:row>
    <x:row r="2521">
      <x:c r="A2521" t="str">
        <x:v>TLALPAN</x:v>
      </x:c>
      <x:c r="B2521" t="str">
        <x:v>Colonia Aguayoto</x:v>
      </x:c>
      <x:c r="C2521" t="str">
        <x:v>Mujer</x:v>
      </x:c>
      <x:c r="D2521" t="str">
        <x:v>r) 85 años y más</x:v>
      </x:c>
      <x:c r="E2521" s="1" t="n">
        <x:v>0</x:v>
      </x:c>
    </x:row>
    <x:row r="2522">
      <x:c r="A2522" t="str">
        <x:v>TLALPAN</x:v>
      </x:c>
      <x:c r="B2522" t="str">
        <x:v>Acazacatongo</x:v>
      </x:c>
      <x:c r="C2522" t="str">
        <x:v>Hombre</x:v>
      </x:c>
      <x:c r="D2522" t="str">
        <x:v>a) 0 a 4 años</x:v>
      </x:c>
      <x:c r="E2522" s="1" t="n">
        <x:v>1</x:v>
      </x:c>
    </x:row>
    <x:row r="2523">
      <x:c r="A2523" t="str">
        <x:v>TLALPAN</x:v>
      </x:c>
      <x:c r="B2523" t="str">
        <x:v>Acazacatongo</x:v>
      </x:c>
      <x:c r="C2523" t="str">
        <x:v>Hombre</x:v>
      </x:c>
      <x:c r="D2523" t="str">
        <x:v>b) 5 a 9 años</x:v>
      </x:c>
      <x:c r="E2523" s="1" t="n">
        <x:v>2</x:v>
      </x:c>
    </x:row>
    <x:row r="2524">
      <x:c r="A2524" t="str">
        <x:v>TLALPAN</x:v>
      </x:c>
      <x:c r="B2524" t="str">
        <x:v>Acazacatongo</x:v>
      </x:c>
      <x:c r="C2524" t="str">
        <x:v>Hombre</x:v>
      </x:c>
      <x:c r="D2524" t="str">
        <x:v>c) 10 a 14 años</x:v>
      </x:c>
      <x:c r="E2524" s="1" t="n">
        <x:v>3</x:v>
      </x:c>
    </x:row>
    <x:row r="2525">
      <x:c r="A2525" t="str">
        <x:v>TLALPAN</x:v>
      </x:c>
      <x:c r="B2525" t="str">
        <x:v>Acazacatongo</x:v>
      </x:c>
      <x:c r="C2525" t="str">
        <x:v>Hombre</x:v>
      </x:c>
      <x:c r="D2525" t="str">
        <x:v>d) 15 a 19 años</x:v>
      </x:c>
      <x:c r="E2525" s="1" t="n">
        <x:v>1</x:v>
      </x:c>
    </x:row>
    <x:row r="2526">
      <x:c r="A2526" t="str">
        <x:v>TLALPAN</x:v>
      </x:c>
      <x:c r="B2526" t="str">
        <x:v>Acazacatongo</x:v>
      </x:c>
      <x:c r="C2526" t="str">
        <x:v>Hombre</x:v>
      </x:c>
      <x:c r="D2526" t="str">
        <x:v>e) 20 a 24 años</x:v>
      </x:c>
      <x:c r="E2526" s="1" t="n">
        <x:v>3</x:v>
      </x:c>
    </x:row>
    <x:row r="2527">
      <x:c r="A2527" t="str">
        <x:v>TLALPAN</x:v>
      </x:c>
      <x:c r="B2527" t="str">
        <x:v>Acazacatongo</x:v>
      </x:c>
      <x:c r="C2527" t="str">
        <x:v>Hombre</x:v>
      </x:c>
      <x:c r="D2527" t="str">
        <x:v>f) 25 a 29 años</x:v>
      </x:c>
      <x:c r="E2527" s="1" t="n">
        <x:v>6</x:v>
      </x:c>
    </x:row>
    <x:row r="2528">
      <x:c r="A2528" t="str">
        <x:v>TLALPAN</x:v>
      </x:c>
      <x:c r="B2528" t="str">
        <x:v>Acazacatongo</x:v>
      </x:c>
      <x:c r="C2528" t="str">
        <x:v>Hombre</x:v>
      </x:c>
      <x:c r="D2528" t="str">
        <x:v>g) 30 a 34 años</x:v>
      </x:c>
      <x:c r="E2528" s="1" t="n">
        <x:v>3</x:v>
      </x:c>
    </x:row>
    <x:row r="2529">
      <x:c r="A2529" t="str">
        <x:v>TLALPAN</x:v>
      </x:c>
      <x:c r="B2529" t="str">
        <x:v>Acazacatongo</x:v>
      </x:c>
      <x:c r="C2529" t="str">
        <x:v>Hombre</x:v>
      </x:c>
      <x:c r="D2529" t="str">
        <x:v>h) 35 a 39 años</x:v>
      </x:c>
      <x:c r="E2529" s="1" t="n">
        <x:v>3</x:v>
      </x:c>
    </x:row>
    <x:row r="2530">
      <x:c r="A2530" t="str">
        <x:v>TLALPAN</x:v>
      </x:c>
      <x:c r="B2530" t="str">
        <x:v>Acazacatongo</x:v>
      </x:c>
      <x:c r="C2530" t="str">
        <x:v>Hombre</x:v>
      </x:c>
      <x:c r="D2530" t="str">
        <x:v>i) 40 a 44 años</x:v>
      </x:c>
      <x:c r="E2530" s="1" t="n">
        <x:v>6</x:v>
      </x:c>
    </x:row>
    <x:row r="2531">
      <x:c r="A2531" t="str">
        <x:v>TLALPAN</x:v>
      </x:c>
      <x:c r="B2531" t="str">
        <x:v>Acazacatongo</x:v>
      </x:c>
      <x:c r="C2531" t="str">
        <x:v>Hombre</x:v>
      </x:c>
      <x:c r="D2531" t="str">
        <x:v>j) 45 a 49 años</x:v>
      </x:c>
      <x:c r="E2531" s="1" t="n">
        <x:v>0</x:v>
      </x:c>
    </x:row>
    <x:row r="2532">
      <x:c r="A2532" t="str">
        <x:v>TLALPAN</x:v>
      </x:c>
      <x:c r="B2532" t="str">
        <x:v>Acazacatongo</x:v>
      </x:c>
      <x:c r="C2532" t="str">
        <x:v>Hombre</x:v>
      </x:c>
      <x:c r="D2532" t="str">
        <x:v>k) 50 a 54 años</x:v>
      </x:c>
      <x:c r="E2532" s="1" t="n">
        <x:v>5</x:v>
      </x:c>
    </x:row>
    <x:row r="2533">
      <x:c r="A2533" t="str">
        <x:v>TLALPAN</x:v>
      </x:c>
      <x:c r="B2533" t="str">
        <x:v>Acazacatongo</x:v>
      </x:c>
      <x:c r="C2533" t="str">
        <x:v>Hombre</x:v>
      </x:c>
      <x:c r="D2533" t="str">
        <x:v>l) 55 a 59 años</x:v>
      </x:c>
      <x:c r="E2533" s="1" t="n">
        <x:v>3</x:v>
      </x:c>
    </x:row>
    <x:row r="2534">
      <x:c r="A2534" t="str">
        <x:v>TLALPAN</x:v>
      </x:c>
      <x:c r="B2534" t="str">
        <x:v>Acazacatongo</x:v>
      </x:c>
      <x:c r="C2534" t="str">
        <x:v>Hombre</x:v>
      </x:c>
      <x:c r="D2534" t="str">
        <x:v>m) 60 a 64 años</x:v>
      </x:c>
      <x:c r="E2534" s="1" t="n">
        <x:v>1</x:v>
      </x:c>
    </x:row>
    <x:row r="2535">
      <x:c r="A2535" t="str">
        <x:v>TLALPAN</x:v>
      </x:c>
      <x:c r="B2535" t="str">
        <x:v>Acazacatongo</x:v>
      </x:c>
      <x:c r="C2535" t="str">
        <x:v>Hombre</x:v>
      </x:c>
      <x:c r="D2535" t="str">
        <x:v>n) 65 a 69 años</x:v>
      </x:c>
      <x:c r="E2535" s="1" t="n">
        <x:v>2</x:v>
      </x:c>
    </x:row>
    <x:row r="2536">
      <x:c r="A2536" t="str">
        <x:v>TLALPAN</x:v>
      </x:c>
      <x:c r="B2536" t="str">
        <x:v>Acazacatongo</x:v>
      </x:c>
      <x:c r="C2536" t="str">
        <x:v>Hombre</x:v>
      </x:c>
      <x:c r="D2536" t="str">
        <x:v>o) 70 a 74 años</x:v>
      </x:c>
      <x:c r="E2536" s="1" t="n">
        <x:v>2</x:v>
      </x:c>
    </x:row>
    <x:row r="2537">
      <x:c r="A2537" t="str">
        <x:v>TLALPAN</x:v>
      </x:c>
      <x:c r="B2537" t="str">
        <x:v>Acazacatongo</x:v>
      </x:c>
      <x:c r="C2537" t="str">
        <x:v>Hombre</x:v>
      </x:c>
      <x:c r="D2537" t="str">
        <x:v>p) 75 a 79 años</x:v>
      </x:c>
      <x:c r="E2537" s="1" t="n">
        <x:v>1</x:v>
      </x:c>
    </x:row>
    <x:row r="2538">
      <x:c r="A2538" t="str">
        <x:v>TLALPAN</x:v>
      </x:c>
      <x:c r="B2538" t="str">
        <x:v>Acazacatongo</x:v>
      </x:c>
      <x:c r="C2538" t="str">
        <x:v>Hombre</x:v>
      </x:c>
      <x:c r="D2538" t="str">
        <x:v>q) 80 a 84 años</x:v>
      </x:c>
      <x:c r="E2538" s="1" t="n">
        <x:v>0</x:v>
      </x:c>
    </x:row>
    <x:row r="2539">
      <x:c r="A2539" t="str">
        <x:v>TLALPAN</x:v>
      </x:c>
      <x:c r="B2539" t="str">
        <x:v>Acazacatongo</x:v>
      </x:c>
      <x:c r="C2539" t="str">
        <x:v>Hombre</x:v>
      </x:c>
      <x:c r="D2539" t="str">
        <x:v>r) 85 años y más</x:v>
      </x:c>
      <x:c r="E2539" s="1" t="n">
        <x:v>0</x:v>
      </x:c>
    </x:row>
    <x:row r="2540">
      <x:c r="A2540" t="str">
        <x:v>TLALPAN</x:v>
      </x:c>
      <x:c r="B2540" t="str">
        <x:v>Acazacatongo</x:v>
      </x:c>
      <x:c r="C2540" t="str">
        <x:v>Mujer</x:v>
      </x:c>
      <x:c r="D2540" t="str">
        <x:v>a) 0 a 4 años</x:v>
      </x:c>
      <x:c r="E2540" s="1" t="n">
        <x:v>1</x:v>
      </x:c>
    </x:row>
    <x:row r="2541">
      <x:c r="A2541" t="str">
        <x:v>TLALPAN</x:v>
      </x:c>
      <x:c r="B2541" t="str">
        <x:v>Acazacatongo</x:v>
      </x:c>
      <x:c r="C2541" t="str">
        <x:v>Mujer</x:v>
      </x:c>
      <x:c r="D2541" t="str">
        <x:v>b) 5 a 9 años</x:v>
      </x:c>
      <x:c r="E2541" s="1" t="n">
        <x:v>2</x:v>
      </x:c>
    </x:row>
    <x:row r="2542">
      <x:c r="A2542" t="str">
        <x:v>TLALPAN</x:v>
      </x:c>
      <x:c r="B2542" t="str">
        <x:v>Acazacatongo</x:v>
      </x:c>
      <x:c r="C2542" t="str">
        <x:v>Mujer</x:v>
      </x:c>
      <x:c r="D2542" t="str">
        <x:v>c) 10 a 14 años</x:v>
      </x:c>
      <x:c r="E2542" s="1" t="n">
        <x:v>2</x:v>
      </x:c>
    </x:row>
    <x:row r="2543">
      <x:c r="A2543" t="str">
        <x:v>TLALPAN</x:v>
      </x:c>
      <x:c r="B2543" t="str">
        <x:v>Acazacatongo</x:v>
      </x:c>
      <x:c r="C2543" t="str">
        <x:v>Mujer</x:v>
      </x:c>
      <x:c r="D2543" t="str">
        <x:v>d) 15 a 19 años</x:v>
      </x:c>
      <x:c r="E2543" s="1" t="n">
        <x:v>8</x:v>
      </x:c>
    </x:row>
    <x:row r="2544">
      <x:c r="A2544" t="str">
        <x:v>TLALPAN</x:v>
      </x:c>
      <x:c r="B2544" t="str">
        <x:v>Acazacatongo</x:v>
      </x:c>
      <x:c r="C2544" t="str">
        <x:v>Mujer</x:v>
      </x:c>
      <x:c r="D2544" t="str">
        <x:v>e) 20 a 24 años</x:v>
      </x:c>
      <x:c r="E2544" s="1" t="n">
        <x:v>4</x:v>
      </x:c>
    </x:row>
    <x:row r="2545">
      <x:c r="A2545" t="str">
        <x:v>TLALPAN</x:v>
      </x:c>
      <x:c r="B2545" t="str">
        <x:v>Acazacatongo</x:v>
      </x:c>
      <x:c r="C2545" t="str">
        <x:v>Mujer</x:v>
      </x:c>
      <x:c r="D2545" t="str">
        <x:v>f) 25 a 29 años</x:v>
      </x:c>
      <x:c r="E2545" s="1" t="n">
        <x:v>2</x:v>
      </x:c>
    </x:row>
    <x:row r="2546">
      <x:c r="A2546" t="str">
        <x:v>TLALPAN</x:v>
      </x:c>
      <x:c r="B2546" t="str">
        <x:v>Acazacatongo</x:v>
      </x:c>
      <x:c r="C2546" t="str">
        <x:v>Mujer</x:v>
      </x:c>
      <x:c r="D2546" t="str">
        <x:v>g) 30 a 34 años</x:v>
      </x:c>
      <x:c r="E2546" s="1" t="n">
        <x:v>2</x:v>
      </x:c>
    </x:row>
    <x:row r="2547">
      <x:c r="A2547" t="str">
        <x:v>TLALPAN</x:v>
      </x:c>
      <x:c r="B2547" t="str">
        <x:v>Acazacatongo</x:v>
      </x:c>
      <x:c r="C2547" t="str">
        <x:v>Mujer</x:v>
      </x:c>
      <x:c r="D2547" t="str">
        <x:v>h) 35 a 39 años</x:v>
      </x:c>
      <x:c r="E2547" s="1" t="n">
        <x:v>4</x:v>
      </x:c>
    </x:row>
    <x:row r="2548">
      <x:c r="A2548" t="str">
        <x:v>TLALPAN</x:v>
      </x:c>
      <x:c r="B2548" t="str">
        <x:v>Acazacatongo</x:v>
      </x:c>
      <x:c r="C2548" t="str">
        <x:v>Mujer</x:v>
      </x:c>
      <x:c r="D2548" t="str">
        <x:v>i) 40 a 44 años</x:v>
      </x:c>
      <x:c r="E2548" s="1" t="n">
        <x:v>2</x:v>
      </x:c>
    </x:row>
    <x:row r="2549">
      <x:c r="A2549" t="str">
        <x:v>TLALPAN</x:v>
      </x:c>
      <x:c r="B2549" t="str">
        <x:v>Acazacatongo</x:v>
      </x:c>
      <x:c r="C2549" t="str">
        <x:v>Mujer</x:v>
      </x:c>
      <x:c r="D2549" t="str">
        <x:v>j) 45 a 49 años</x:v>
      </x:c>
      <x:c r="E2549" s="1" t="n">
        <x:v>7</x:v>
      </x:c>
    </x:row>
    <x:row r="2550">
      <x:c r="A2550" t="str">
        <x:v>TLALPAN</x:v>
      </x:c>
      <x:c r="B2550" t="str">
        <x:v>Acazacatongo</x:v>
      </x:c>
      <x:c r="C2550" t="str">
        <x:v>Mujer</x:v>
      </x:c>
      <x:c r="D2550" t="str">
        <x:v>k) 50 a 54 años</x:v>
      </x:c>
      <x:c r="E2550" s="1" t="n">
        <x:v>5</x:v>
      </x:c>
    </x:row>
    <x:row r="2551">
      <x:c r="A2551" t="str">
        <x:v>TLALPAN</x:v>
      </x:c>
      <x:c r="B2551" t="str">
        <x:v>Acazacatongo</x:v>
      </x:c>
      <x:c r="C2551" t="str">
        <x:v>Mujer</x:v>
      </x:c>
      <x:c r="D2551" t="str">
        <x:v>l) 55 a 59 años</x:v>
      </x:c>
      <x:c r="E2551" s="1" t="n">
        <x:v>1</x:v>
      </x:c>
    </x:row>
    <x:row r="2552">
      <x:c r="A2552" t="str">
        <x:v>TLALPAN</x:v>
      </x:c>
      <x:c r="B2552" t="str">
        <x:v>Acazacatongo</x:v>
      </x:c>
      <x:c r="C2552" t="str">
        <x:v>Mujer</x:v>
      </x:c>
      <x:c r="D2552" t="str">
        <x:v>m) 60 a 64 años</x:v>
      </x:c>
      <x:c r="E2552" s="1" t="n">
        <x:v>1</x:v>
      </x:c>
    </x:row>
    <x:row r="2553">
      <x:c r="A2553" t="str">
        <x:v>TLALPAN</x:v>
      </x:c>
      <x:c r="B2553" t="str">
        <x:v>Acazacatongo</x:v>
      </x:c>
      <x:c r="C2553" t="str">
        <x:v>Mujer</x:v>
      </x:c>
      <x:c r="D2553" t="str">
        <x:v>n) 65 a 69 años</x:v>
      </x:c>
      <x:c r="E2553" s="1" t="n">
        <x:v>0</x:v>
      </x:c>
    </x:row>
    <x:row r="2554">
      <x:c r="A2554" t="str">
        <x:v>TLALPAN</x:v>
      </x:c>
      <x:c r="B2554" t="str">
        <x:v>Acazacatongo</x:v>
      </x:c>
      <x:c r="C2554" t="str">
        <x:v>Mujer</x:v>
      </x:c>
      <x:c r="D2554" t="str">
        <x:v>o) 70 a 74 años</x:v>
      </x:c>
      <x:c r="E2554" s="1" t="n">
        <x:v>2</x:v>
      </x:c>
    </x:row>
    <x:row r="2555">
      <x:c r="A2555" t="str">
        <x:v>TLALPAN</x:v>
      </x:c>
      <x:c r="B2555" t="str">
        <x:v>Acazacatongo</x:v>
      </x:c>
      <x:c r="C2555" t="str">
        <x:v>Mujer</x:v>
      </x:c>
      <x:c r="D2555" t="str">
        <x:v>p) 75 a 79 años</x:v>
      </x:c>
      <x:c r="E2555" s="1" t="n">
        <x:v>1</x:v>
      </x:c>
    </x:row>
    <x:row r="2556">
      <x:c r="A2556" t="str">
        <x:v>TLALPAN</x:v>
      </x:c>
      <x:c r="B2556" t="str">
        <x:v>Acazacatongo</x:v>
      </x:c>
      <x:c r="C2556" t="str">
        <x:v>Mujer</x:v>
      </x:c>
      <x:c r="D2556" t="str">
        <x:v>q) 80 a 84 años</x:v>
      </x:c>
      <x:c r="E2556" s="1" t="n">
        <x:v>0</x:v>
      </x:c>
    </x:row>
    <x:row r="2557">
      <x:c r="A2557" t="str">
        <x:v>TLALPAN</x:v>
      </x:c>
      <x:c r="B2557" t="str">
        <x:v>Acazacatongo</x:v>
      </x:c>
      <x:c r="C2557" t="str">
        <x:v>Mujer</x:v>
      </x:c>
      <x:c r="D2557" t="str">
        <x:v>r) 85 años y más</x:v>
      </x:c>
      <x:c r="E2557" s="1" t="n">
        <x:v>0</x:v>
      </x:c>
    </x:row>
    <x:row r="2558">
      <x:c r="A2558" t="str">
        <x:v>TLALPAN</x:v>
      </x:c>
      <x:c r="B2558" t="str">
        <x:v>El Arcoiris</x:v>
      </x:c>
      <x:c r="C2558" t="str">
        <x:v>Hombre</x:v>
      </x:c>
      <x:c r="D2558" t="str">
        <x:v>a) 0 a 4 años</x:v>
      </x:c>
      <x:c r="E2558" s="1" t="n">
        <x:v>5</x:v>
      </x:c>
    </x:row>
    <x:row r="2559">
      <x:c r="A2559" t="str">
        <x:v>TLALPAN</x:v>
      </x:c>
      <x:c r="B2559" t="str">
        <x:v>El Arcoiris</x:v>
      </x:c>
      <x:c r="C2559" t="str">
        <x:v>Hombre</x:v>
      </x:c>
      <x:c r="D2559" t="str">
        <x:v>b) 5 a 9 años</x:v>
      </x:c>
      <x:c r="E2559" s="1" t="n">
        <x:v>7</x:v>
      </x:c>
    </x:row>
    <x:row r="2560">
      <x:c r="A2560" t="str">
        <x:v>TLALPAN</x:v>
      </x:c>
      <x:c r="B2560" t="str">
        <x:v>El Arcoiris</x:v>
      </x:c>
      <x:c r="C2560" t="str">
        <x:v>Hombre</x:v>
      </x:c>
      <x:c r="D2560" t="str">
        <x:v>c) 10 a 14 años</x:v>
      </x:c>
      <x:c r="E2560" s="1" t="n">
        <x:v>8</x:v>
      </x:c>
    </x:row>
    <x:row r="2561">
      <x:c r="A2561" t="str">
        <x:v>TLALPAN</x:v>
      </x:c>
      <x:c r="B2561" t="str">
        <x:v>El Arcoiris</x:v>
      </x:c>
      <x:c r="C2561" t="str">
        <x:v>Hombre</x:v>
      </x:c>
      <x:c r="D2561" t="str">
        <x:v>d) 15 a 19 años</x:v>
      </x:c>
      <x:c r="E2561" s="1" t="n">
        <x:v>12</x:v>
      </x:c>
    </x:row>
    <x:row r="2562">
      <x:c r="A2562" t="str">
        <x:v>TLALPAN</x:v>
      </x:c>
      <x:c r="B2562" t="str">
        <x:v>El Arcoiris</x:v>
      </x:c>
      <x:c r="C2562" t="str">
        <x:v>Hombre</x:v>
      </x:c>
      <x:c r="D2562" t="str">
        <x:v>e) 20 a 24 años</x:v>
      </x:c>
      <x:c r="E2562" s="1" t="n">
        <x:v>10</x:v>
      </x:c>
    </x:row>
    <x:row r="2563">
      <x:c r="A2563" t="str">
        <x:v>TLALPAN</x:v>
      </x:c>
      <x:c r="B2563" t="str">
        <x:v>El Arcoiris</x:v>
      </x:c>
      <x:c r="C2563" t="str">
        <x:v>Hombre</x:v>
      </x:c>
      <x:c r="D2563" t="str">
        <x:v>f) 25 a 29 años</x:v>
      </x:c>
      <x:c r="E2563" s="1" t="n">
        <x:v>9</x:v>
      </x:c>
    </x:row>
    <x:row r="2564">
      <x:c r="A2564" t="str">
        <x:v>TLALPAN</x:v>
      </x:c>
      <x:c r="B2564" t="str">
        <x:v>El Arcoiris</x:v>
      </x:c>
      <x:c r="C2564" t="str">
        <x:v>Hombre</x:v>
      </x:c>
      <x:c r="D2564" t="str">
        <x:v>g) 30 a 34 años</x:v>
      </x:c>
      <x:c r="E2564" s="1" t="n">
        <x:v>6</x:v>
      </x:c>
    </x:row>
    <x:row r="2565">
      <x:c r="A2565" t="str">
        <x:v>TLALPAN</x:v>
      </x:c>
      <x:c r="B2565" t="str">
        <x:v>El Arcoiris</x:v>
      </x:c>
      <x:c r="C2565" t="str">
        <x:v>Hombre</x:v>
      </x:c>
      <x:c r="D2565" t="str">
        <x:v>h) 35 a 39 años</x:v>
      </x:c>
      <x:c r="E2565" s="1" t="n">
        <x:v>11</x:v>
      </x:c>
    </x:row>
    <x:row r="2566">
      <x:c r="A2566" t="str">
        <x:v>TLALPAN</x:v>
      </x:c>
      <x:c r="B2566" t="str">
        <x:v>El Arcoiris</x:v>
      </x:c>
      <x:c r="C2566" t="str">
        <x:v>Hombre</x:v>
      </x:c>
      <x:c r="D2566" t="str">
        <x:v>i) 40 a 44 años</x:v>
      </x:c>
      <x:c r="E2566" s="1" t="n">
        <x:v>4</x:v>
      </x:c>
    </x:row>
    <x:row r="2567">
      <x:c r="A2567" t="str">
        <x:v>TLALPAN</x:v>
      </x:c>
      <x:c r="B2567" t="str">
        <x:v>El Arcoiris</x:v>
      </x:c>
      <x:c r="C2567" t="str">
        <x:v>Hombre</x:v>
      </x:c>
      <x:c r="D2567" t="str">
        <x:v>j) 45 a 49 años</x:v>
      </x:c>
      <x:c r="E2567" s="1" t="n">
        <x:v>4</x:v>
      </x:c>
    </x:row>
    <x:row r="2568">
      <x:c r="A2568" t="str">
        <x:v>TLALPAN</x:v>
      </x:c>
      <x:c r="B2568" t="str">
        <x:v>El Arcoiris</x:v>
      </x:c>
      <x:c r="C2568" t="str">
        <x:v>Hombre</x:v>
      </x:c>
      <x:c r="D2568" t="str">
        <x:v>k) 50 a 54 años</x:v>
      </x:c>
      <x:c r="E2568" s="1" t="n">
        <x:v>7</x:v>
      </x:c>
    </x:row>
    <x:row r="2569">
      <x:c r="A2569" t="str">
        <x:v>TLALPAN</x:v>
      </x:c>
      <x:c r="B2569" t="str">
        <x:v>El Arcoiris</x:v>
      </x:c>
      <x:c r="C2569" t="str">
        <x:v>Hombre</x:v>
      </x:c>
      <x:c r="D2569" t="str">
        <x:v>l) 55 a 59 años</x:v>
      </x:c>
      <x:c r="E2569" s="1" t="n">
        <x:v>4</x:v>
      </x:c>
    </x:row>
    <x:row r="2570">
      <x:c r="A2570" t="str">
        <x:v>TLALPAN</x:v>
      </x:c>
      <x:c r="B2570" t="str">
        <x:v>El Arcoiris</x:v>
      </x:c>
      <x:c r="C2570" t="str">
        <x:v>Hombre</x:v>
      </x:c>
      <x:c r="D2570" t="str">
        <x:v>m) 60 a 64 años</x:v>
      </x:c>
      <x:c r="E2570" s="1" t="n">
        <x:v>4</x:v>
      </x:c>
    </x:row>
    <x:row r="2571">
      <x:c r="A2571" t="str">
        <x:v>TLALPAN</x:v>
      </x:c>
      <x:c r="B2571" t="str">
        <x:v>El Arcoiris</x:v>
      </x:c>
      <x:c r="C2571" t="str">
        <x:v>Hombre</x:v>
      </x:c>
      <x:c r="D2571" t="str">
        <x:v>n) 65 a 69 años</x:v>
      </x:c>
      <x:c r="E2571" s="1" t="n">
        <x:v>0</x:v>
      </x:c>
    </x:row>
    <x:row r="2572">
      <x:c r="A2572" t="str">
        <x:v>TLALPAN</x:v>
      </x:c>
      <x:c r="B2572" t="str">
        <x:v>El Arcoiris</x:v>
      </x:c>
      <x:c r="C2572" t="str">
        <x:v>Hombre</x:v>
      </x:c>
      <x:c r="D2572" t="str">
        <x:v>o) 70 a 74 años</x:v>
      </x:c>
      <x:c r="E2572" s="1" t="n">
        <x:v>0</x:v>
      </x:c>
    </x:row>
    <x:row r="2573">
      <x:c r="A2573" t="str">
        <x:v>TLALPAN</x:v>
      </x:c>
      <x:c r="B2573" t="str">
        <x:v>El Arcoiris</x:v>
      </x:c>
      <x:c r="C2573" t="str">
        <x:v>Hombre</x:v>
      </x:c>
      <x:c r="D2573" t="str">
        <x:v>p) 75 a 79 años</x:v>
      </x:c>
      <x:c r="E2573" s="1" t="n">
        <x:v>3</x:v>
      </x:c>
    </x:row>
    <x:row r="2574">
      <x:c r="A2574" t="str">
        <x:v>TLALPAN</x:v>
      </x:c>
      <x:c r="B2574" t="str">
        <x:v>El Arcoiris</x:v>
      </x:c>
      <x:c r="C2574" t="str">
        <x:v>Hombre</x:v>
      </x:c>
      <x:c r="D2574" t="str">
        <x:v>q) 80 a 84 años</x:v>
      </x:c>
      <x:c r="E2574" s="1" t="n">
        <x:v>1</x:v>
      </x:c>
    </x:row>
    <x:row r="2575">
      <x:c r="A2575" t="str">
        <x:v>TLALPAN</x:v>
      </x:c>
      <x:c r="B2575" t="str">
        <x:v>El Arcoiris</x:v>
      </x:c>
      <x:c r="C2575" t="str">
        <x:v>Hombre</x:v>
      </x:c>
      <x:c r="D2575" t="str">
        <x:v>r) 85 años y más</x:v>
      </x:c>
      <x:c r="E2575" s="1" t="n">
        <x:v>0</x:v>
      </x:c>
    </x:row>
    <x:row r="2576">
      <x:c r="A2576" t="str">
        <x:v>TLALPAN</x:v>
      </x:c>
      <x:c r="B2576" t="str">
        <x:v>El Arcoiris</x:v>
      </x:c>
      <x:c r="C2576" t="str">
        <x:v>Mujer</x:v>
      </x:c>
      <x:c r="D2576" t="str">
        <x:v>a) 0 a 4 años</x:v>
      </x:c>
      <x:c r="E2576" s="1" t="n">
        <x:v>6</x:v>
      </x:c>
    </x:row>
    <x:row r="2577">
      <x:c r="A2577" t="str">
        <x:v>TLALPAN</x:v>
      </x:c>
      <x:c r="B2577" t="str">
        <x:v>El Arcoiris</x:v>
      </x:c>
      <x:c r="C2577" t="str">
        <x:v>Mujer</x:v>
      </x:c>
      <x:c r="D2577" t="str">
        <x:v>b) 5 a 9 años</x:v>
      </x:c>
      <x:c r="E2577" s="1" t="n">
        <x:v>7</x:v>
      </x:c>
    </x:row>
    <x:row r="2578">
      <x:c r="A2578" t="str">
        <x:v>TLALPAN</x:v>
      </x:c>
      <x:c r="B2578" t="str">
        <x:v>El Arcoiris</x:v>
      </x:c>
      <x:c r="C2578" t="str">
        <x:v>Mujer</x:v>
      </x:c>
      <x:c r="D2578" t="str">
        <x:v>c) 10 a 14 años</x:v>
      </x:c>
      <x:c r="E2578" s="1" t="n">
        <x:v>9</x:v>
      </x:c>
    </x:row>
    <x:row r="2579">
      <x:c r="A2579" t="str">
        <x:v>TLALPAN</x:v>
      </x:c>
      <x:c r="B2579" t="str">
        <x:v>El Arcoiris</x:v>
      </x:c>
      <x:c r="C2579" t="str">
        <x:v>Mujer</x:v>
      </x:c>
      <x:c r="D2579" t="str">
        <x:v>d) 15 a 19 años</x:v>
      </x:c>
      <x:c r="E2579" s="1" t="n">
        <x:v>14</x:v>
      </x:c>
    </x:row>
    <x:row r="2580">
      <x:c r="A2580" t="str">
        <x:v>TLALPAN</x:v>
      </x:c>
      <x:c r="B2580" t="str">
        <x:v>El Arcoiris</x:v>
      </x:c>
      <x:c r="C2580" t="str">
        <x:v>Mujer</x:v>
      </x:c>
      <x:c r="D2580" t="str">
        <x:v>e) 20 a 24 años</x:v>
      </x:c>
      <x:c r="E2580" s="1" t="n">
        <x:v>7</x:v>
      </x:c>
    </x:row>
    <x:row r="2581">
      <x:c r="A2581" t="str">
        <x:v>TLALPAN</x:v>
      </x:c>
      <x:c r="B2581" t="str">
        <x:v>El Arcoiris</x:v>
      </x:c>
      <x:c r="C2581" t="str">
        <x:v>Mujer</x:v>
      </x:c>
      <x:c r="D2581" t="str">
        <x:v>f) 25 a 29 años</x:v>
      </x:c>
      <x:c r="E2581" s="1" t="n">
        <x:v>8</x:v>
      </x:c>
    </x:row>
    <x:row r="2582">
      <x:c r="A2582" t="str">
        <x:v>TLALPAN</x:v>
      </x:c>
      <x:c r="B2582" t="str">
        <x:v>El Arcoiris</x:v>
      </x:c>
      <x:c r="C2582" t="str">
        <x:v>Mujer</x:v>
      </x:c>
      <x:c r="D2582" t="str">
        <x:v>g) 30 a 34 años</x:v>
      </x:c>
      <x:c r="E2582" s="1" t="n">
        <x:v>1</x:v>
      </x:c>
    </x:row>
    <x:row r="2583">
      <x:c r="A2583" t="str">
        <x:v>TLALPAN</x:v>
      </x:c>
      <x:c r="B2583" t="str">
        <x:v>El Arcoiris</x:v>
      </x:c>
      <x:c r="C2583" t="str">
        <x:v>Mujer</x:v>
      </x:c>
      <x:c r="D2583" t="str">
        <x:v>h) 35 a 39 años</x:v>
      </x:c>
      <x:c r="E2583" s="1" t="n">
        <x:v>8</x:v>
      </x:c>
    </x:row>
    <x:row r="2584">
      <x:c r="A2584" t="str">
        <x:v>TLALPAN</x:v>
      </x:c>
      <x:c r="B2584" t="str">
        <x:v>El Arcoiris</x:v>
      </x:c>
      <x:c r="C2584" t="str">
        <x:v>Mujer</x:v>
      </x:c>
      <x:c r="D2584" t="str">
        <x:v>i) 40 a 44 años</x:v>
      </x:c>
      <x:c r="E2584" s="1" t="n">
        <x:v>9</x:v>
      </x:c>
    </x:row>
    <x:row r="2585">
      <x:c r="A2585" t="str">
        <x:v>TLALPAN</x:v>
      </x:c>
      <x:c r="B2585" t="str">
        <x:v>El Arcoiris</x:v>
      </x:c>
      <x:c r="C2585" t="str">
        <x:v>Mujer</x:v>
      </x:c>
      <x:c r="D2585" t="str">
        <x:v>j) 45 a 49 años</x:v>
      </x:c>
      <x:c r="E2585" s="1" t="n">
        <x:v>9</x:v>
      </x:c>
    </x:row>
    <x:row r="2586">
      <x:c r="A2586" t="str">
        <x:v>TLALPAN</x:v>
      </x:c>
      <x:c r="B2586" t="str">
        <x:v>El Arcoiris</x:v>
      </x:c>
      <x:c r="C2586" t="str">
        <x:v>Mujer</x:v>
      </x:c>
      <x:c r="D2586" t="str">
        <x:v>k) 50 a 54 años</x:v>
      </x:c>
      <x:c r="E2586" s="1" t="n">
        <x:v>4</x:v>
      </x:c>
    </x:row>
    <x:row r="2587">
      <x:c r="A2587" t="str">
        <x:v>TLALPAN</x:v>
      </x:c>
      <x:c r="B2587" t="str">
        <x:v>El Arcoiris</x:v>
      </x:c>
      <x:c r="C2587" t="str">
        <x:v>Mujer</x:v>
      </x:c>
      <x:c r="D2587" t="str">
        <x:v>l) 55 a 59 años</x:v>
      </x:c>
      <x:c r="E2587" s="1" t="n">
        <x:v>8</x:v>
      </x:c>
    </x:row>
    <x:row r="2588">
      <x:c r="A2588" t="str">
        <x:v>TLALPAN</x:v>
      </x:c>
      <x:c r="B2588" t="str">
        <x:v>El Arcoiris</x:v>
      </x:c>
      <x:c r="C2588" t="str">
        <x:v>Mujer</x:v>
      </x:c>
      <x:c r="D2588" t="str">
        <x:v>m) 60 a 64 años</x:v>
      </x:c>
      <x:c r="E2588" s="1" t="n">
        <x:v>2</x:v>
      </x:c>
    </x:row>
    <x:row r="2589">
      <x:c r="A2589" t="str">
        <x:v>TLALPAN</x:v>
      </x:c>
      <x:c r="B2589" t="str">
        <x:v>El Arcoiris</x:v>
      </x:c>
      <x:c r="C2589" t="str">
        <x:v>Mujer</x:v>
      </x:c>
      <x:c r="D2589" t="str">
        <x:v>n) 65 a 69 años</x:v>
      </x:c>
      <x:c r="E2589" s="1" t="n">
        <x:v>1</x:v>
      </x:c>
    </x:row>
    <x:row r="2590">
      <x:c r="A2590" t="str">
        <x:v>TLALPAN</x:v>
      </x:c>
      <x:c r="B2590" t="str">
        <x:v>El Arcoiris</x:v>
      </x:c>
      <x:c r="C2590" t="str">
        <x:v>Mujer</x:v>
      </x:c>
      <x:c r="D2590" t="str">
        <x:v>o) 70 a 74 años</x:v>
      </x:c>
      <x:c r="E2590" s="1" t="n">
        <x:v>1</x:v>
      </x:c>
    </x:row>
    <x:row r="2591">
      <x:c r="A2591" t="str">
        <x:v>TLALPAN</x:v>
      </x:c>
      <x:c r="B2591" t="str">
        <x:v>El Arcoiris</x:v>
      </x:c>
      <x:c r="C2591" t="str">
        <x:v>Mujer</x:v>
      </x:c>
      <x:c r="D2591" t="str">
        <x:v>p) 75 a 79 años</x:v>
      </x:c>
      <x:c r="E2591" s="1" t="n">
        <x:v>1</x:v>
      </x:c>
    </x:row>
    <x:row r="2592">
      <x:c r="A2592" t="str">
        <x:v>TLALPAN</x:v>
      </x:c>
      <x:c r="B2592" t="str">
        <x:v>El Arcoiris</x:v>
      </x:c>
      <x:c r="C2592" t="str">
        <x:v>Mujer</x:v>
      </x:c>
      <x:c r="D2592" t="str">
        <x:v>q) 80 a 84 años</x:v>
      </x:c>
      <x:c r="E2592" s="1" t="n">
        <x:v>0</x:v>
      </x:c>
    </x:row>
    <x:row r="2593">
      <x:c r="A2593" t="str">
        <x:v>TLALPAN</x:v>
      </x:c>
      <x:c r="B2593" t="str">
        <x:v>El Arcoiris</x:v>
      </x:c>
      <x:c r="C2593" t="str">
        <x:v>Mujer</x:v>
      </x:c>
      <x:c r="D2593" t="str">
        <x:v>r) 85 años y más</x:v>
      </x:c>
      <x:c r="E2593" s="1" t="n">
        <x:v>0</x:v>
      </x:c>
    </x:row>
    <x:row r="2594">
      <x:c r="A2594" t="str">
        <x:v>TLALPAN</x:v>
      </x:c>
      <x:c r="B2594" t="str">
        <x:v>Tezontitla</x:v>
      </x:c>
      <x:c r="C2594" t="str">
        <x:v>Hombre</x:v>
      </x:c>
      <x:c r="D2594" t="str">
        <x:v>a) 0 a 4 años</x:v>
      </x:c>
      <x:c r="E2594" s="1" t="n">
        <x:v>35</x:v>
      </x:c>
    </x:row>
    <x:row r="2595">
      <x:c r="A2595" t="str">
        <x:v>TLALPAN</x:v>
      </x:c>
      <x:c r="B2595" t="str">
        <x:v>Tezontitla</x:v>
      </x:c>
      <x:c r="C2595" t="str">
        <x:v>Hombre</x:v>
      </x:c>
      <x:c r="D2595" t="str">
        <x:v>b) 5 a 9 años</x:v>
      </x:c>
      <x:c r="E2595" s="1" t="n">
        <x:v>25</x:v>
      </x:c>
    </x:row>
    <x:row r="2596">
      <x:c r="A2596" t="str">
        <x:v>TLALPAN</x:v>
      </x:c>
      <x:c r="B2596" t="str">
        <x:v>Tezontitla</x:v>
      </x:c>
      <x:c r="C2596" t="str">
        <x:v>Hombre</x:v>
      </x:c>
      <x:c r="D2596" t="str">
        <x:v>c) 10 a 14 años</x:v>
      </x:c>
      <x:c r="E2596" s="1" t="n">
        <x:v>32</x:v>
      </x:c>
    </x:row>
    <x:row r="2597">
      <x:c r="A2597" t="str">
        <x:v>TLALPAN</x:v>
      </x:c>
      <x:c r="B2597" t="str">
        <x:v>Tezontitla</x:v>
      </x:c>
      <x:c r="C2597" t="str">
        <x:v>Hombre</x:v>
      </x:c>
      <x:c r="D2597" t="str">
        <x:v>d) 15 a 19 años</x:v>
      </x:c>
      <x:c r="E2597" s="1" t="n">
        <x:v>50</x:v>
      </x:c>
    </x:row>
    <x:row r="2598">
      <x:c r="A2598" t="str">
        <x:v>TLALPAN</x:v>
      </x:c>
      <x:c r="B2598" t="str">
        <x:v>Tezontitla</x:v>
      </x:c>
      <x:c r="C2598" t="str">
        <x:v>Hombre</x:v>
      </x:c>
      <x:c r="D2598" t="str">
        <x:v>e) 20 a 24 años</x:v>
      </x:c>
      <x:c r="E2598" s="1" t="n">
        <x:v>33</x:v>
      </x:c>
    </x:row>
    <x:row r="2599">
      <x:c r="A2599" t="str">
        <x:v>TLALPAN</x:v>
      </x:c>
      <x:c r="B2599" t="str">
        <x:v>Tezontitla</x:v>
      </x:c>
      <x:c r="C2599" t="str">
        <x:v>Hombre</x:v>
      </x:c>
      <x:c r="D2599" t="str">
        <x:v>f) 25 a 29 años</x:v>
      </x:c>
      <x:c r="E2599" s="1" t="n">
        <x:v>42</x:v>
      </x:c>
    </x:row>
    <x:row r="2600">
      <x:c r="A2600" t="str">
        <x:v>TLALPAN</x:v>
      </x:c>
      <x:c r="B2600" t="str">
        <x:v>Tezontitla</x:v>
      </x:c>
      <x:c r="C2600" t="str">
        <x:v>Hombre</x:v>
      </x:c>
      <x:c r="D2600" t="str">
        <x:v>g) 30 a 34 años</x:v>
      </x:c>
      <x:c r="E2600" s="1" t="n">
        <x:v>35</x:v>
      </x:c>
    </x:row>
    <x:row r="2601">
      <x:c r="A2601" t="str">
        <x:v>TLALPAN</x:v>
      </x:c>
      <x:c r="B2601" t="str">
        <x:v>Tezontitla</x:v>
      </x:c>
      <x:c r="C2601" t="str">
        <x:v>Hombre</x:v>
      </x:c>
      <x:c r="D2601" t="str">
        <x:v>h) 35 a 39 años</x:v>
      </x:c>
      <x:c r="E2601" s="1" t="n">
        <x:v>35</x:v>
      </x:c>
    </x:row>
    <x:row r="2602">
      <x:c r="A2602" t="str">
        <x:v>TLALPAN</x:v>
      </x:c>
      <x:c r="B2602" t="str">
        <x:v>Tezontitla</x:v>
      </x:c>
      <x:c r="C2602" t="str">
        <x:v>Hombre</x:v>
      </x:c>
      <x:c r="D2602" t="str">
        <x:v>i) 40 a 44 años</x:v>
      </x:c>
      <x:c r="E2602" s="1" t="n">
        <x:v>31</x:v>
      </x:c>
    </x:row>
    <x:row r="2603">
      <x:c r="A2603" t="str">
        <x:v>TLALPAN</x:v>
      </x:c>
      <x:c r="B2603" t="str">
        <x:v>Tezontitla</x:v>
      </x:c>
      <x:c r="C2603" t="str">
        <x:v>Hombre</x:v>
      </x:c>
      <x:c r="D2603" t="str">
        <x:v>j) 45 a 49 años</x:v>
      </x:c>
      <x:c r="E2603" s="1" t="n">
        <x:v>31</x:v>
      </x:c>
    </x:row>
    <x:row r="2604">
      <x:c r="A2604" t="str">
        <x:v>TLALPAN</x:v>
      </x:c>
      <x:c r="B2604" t="str">
        <x:v>Tezontitla</x:v>
      </x:c>
      <x:c r="C2604" t="str">
        <x:v>Hombre</x:v>
      </x:c>
      <x:c r="D2604" t="str">
        <x:v>k) 50 a 54 años</x:v>
      </x:c>
      <x:c r="E2604" s="1" t="n">
        <x:v>27</x:v>
      </x:c>
    </x:row>
    <x:row r="2605">
      <x:c r="A2605" t="str">
        <x:v>TLALPAN</x:v>
      </x:c>
      <x:c r="B2605" t="str">
        <x:v>Tezontitla</x:v>
      </x:c>
      <x:c r="C2605" t="str">
        <x:v>Hombre</x:v>
      </x:c>
      <x:c r="D2605" t="str">
        <x:v>l) 55 a 59 años</x:v>
      </x:c>
      <x:c r="E2605" s="1" t="n">
        <x:v>13</x:v>
      </x:c>
    </x:row>
    <x:row r="2606">
      <x:c r="A2606" t="str">
        <x:v>TLALPAN</x:v>
      </x:c>
      <x:c r="B2606" t="str">
        <x:v>Tezontitla</x:v>
      </x:c>
      <x:c r="C2606" t="str">
        <x:v>Hombre</x:v>
      </x:c>
      <x:c r="D2606" t="str">
        <x:v>m) 60 a 64 años</x:v>
      </x:c>
      <x:c r="E2606" s="1" t="n">
        <x:v>13</x:v>
      </x:c>
    </x:row>
    <x:row r="2607">
      <x:c r="A2607" t="str">
        <x:v>TLALPAN</x:v>
      </x:c>
      <x:c r="B2607" t="str">
        <x:v>Tezontitla</x:v>
      </x:c>
      <x:c r="C2607" t="str">
        <x:v>Hombre</x:v>
      </x:c>
      <x:c r="D2607" t="str">
        <x:v>n) 65 a 69 años</x:v>
      </x:c>
      <x:c r="E2607" s="1" t="n">
        <x:v>9</x:v>
      </x:c>
    </x:row>
    <x:row r="2608">
      <x:c r="A2608" t="str">
        <x:v>TLALPAN</x:v>
      </x:c>
      <x:c r="B2608" t="str">
        <x:v>Tezontitla</x:v>
      </x:c>
      <x:c r="C2608" t="str">
        <x:v>Hombre</x:v>
      </x:c>
      <x:c r="D2608" t="str">
        <x:v>o) 70 a 74 años</x:v>
      </x:c>
      <x:c r="E2608" s="1" t="n">
        <x:v>6</x:v>
      </x:c>
    </x:row>
    <x:row r="2609">
      <x:c r="A2609" t="str">
        <x:v>TLALPAN</x:v>
      </x:c>
      <x:c r="B2609" t="str">
        <x:v>Tezontitla</x:v>
      </x:c>
      <x:c r="C2609" t="str">
        <x:v>Hombre</x:v>
      </x:c>
      <x:c r="D2609" t="str">
        <x:v>p) 75 a 79 años</x:v>
      </x:c>
      <x:c r="E2609" s="1" t="n">
        <x:v>3</x:v>
      </x:c>
    </x:row>
    <x:row r="2610">
      <x:c r="A2610" t="str">
        <x:v>TLALPAN</x:v>
      </x:c>
      <x:c r="B2610" t="str">
        <x:v>Tezontitla</x:v>
      </x:c>
      <x:c r="C2610" t="str">
        <x:v>Hombre</x:v>
      </x:c>
      <x:c r="D2610" t="str">
        <x:v>q) 80 a 84 años</x:v>
      </x:c>
      <x:c r="E2610" s="1" t="n">
        <x:v>2</x:v>
      </x:c>
    </x:row>
    <x:row r="2611">
      <x:c r="A2611" t="str">
        <x:v>TLALPAN</x:v>
      </x:c>
      <x:c r="B2611" t="str">
        <x:v>Tezontitla</x:v>
      </x:c>
      <x:c r="C2611" t="str">
        <x:v>Hombre</x:v>
      </x:c>
      <x:c r="D2611" t="str">
        <x:v>r) 85 años y más</x:v>
      </x:c>
      <x:c r="E2611" s="1" t="n">
        <x:v>0</x:v>
      </x:c>
    </x:row>
    <x:row r="2612">
      <x:c r="A2612" t="str">
        <x:v>TLALPAN</x:v>
      </x:c>
      <x:c r="B2612" t="str">
        <x:v>Tezontitla</x:v>
      </x:c>
      <x:c r="C2612" t="str">
        <x:v>Mujer</x:v>
      </x:c>
      <x:c r="D2612" t="str">
        <x:v>a) 0 a 4 años</x:v>
      </x:c>
      <x:c r="E2612" s="1" t="n">
        <x:v>26</x:v>
      </x:c>
    </x:row>
    <x:row r="2613">
      <x:c r="A2613" t="str">
        <x:v>TLALPAN</x:v>
      </x:c>
      <x:c r="B2613" t="str">
        <x:v>Tezontitla</x:v>
      </x:c>
      <x:c r="C2613" t="str">
        <x:v>Mujer</x:v>
      </x:c>
      <x:c r="D2613" t="str">
        <x:v>b) 5 a 9 años</x:v>
      </x:c>
      <x:c r="E2613" s="1" t="n">
        <x:v>29</x:v>
      </x:c>
    </x:row>
    <x:row r="2614">
      <x:c r="A2614" t="str">
        <x:v>TLALPAN</x:v>
      </x:c>
      <x:c r="B2614" t="str">
        <x:v>Tezontitla</x:v>
      </x:c>
      <x:c r="C2614" t="str">
        <x:v>Mujer</x:v>
      </x:c>
      <x:c r="D2614" t="str">
        <x:v>c) 10 a 14 años</x:v>
      </x:c>
      <x:c r="E2614" s="1" t="n">
        <x:v>45</x:v>
      </x:c>
    </x:row>
    <x:row r="2615">
      <x:c r="A2615" t="str">
        <x:v>TLALPAN</x:v>
      </x:c>
      <x:c r="B2615" t="str">
        <x:v>Tezontitla</x:v>
      </x:c>
      <x:c r="C2615" t="str">
        <x:v>Mujer</x:v>
      </x:c>
      <x:c r="D2615" t="str">
        <x:v>d) 15 a 19 años</x:v>
      </x:c>
      <x:c r="E2615" s="1" t="n">
        <x:v>34</x:v>
      </x:c>
    </x:row>
    <x:row r="2616">
      <x:c r="A2616" t="str">
        <x:v>TLALPAN</x:v>
      </x:c>
      <x:c r="B2616" t="str">
        <x:v>Tezontitla</x:v>
      </x:c>
      <x:c r="C2616" t="str">
        <x:v>Mujer</x:v>
      </x:c>
      <x:c r="D2616" t="str">
        <x:v>e) 20 a 24 años</x:v>
      </x:c>
      <x:c r="E2616" s="1" t="n">
        <x:v>31</x:v>
      </x:c>
    </x:row>
    <x:row r="2617">
      <x:c r="A2617" t="str">
        <x:v>TLALPAN</x:v>
      </x:c>
      <x:c r="B2617" t="str">
        <x:v>Tezontitla</x:v>
      </x:c>
      <x:c r="C2617" t="str">
        <x:v>Mujer</x:v>
      </x:c>
      <x:c r="D2617" t="str">
        <x:v>f) 25 a 29 años</x:v>
      </x:c>
      <x:c r="E2617" s="1" t="n">
        <x:v>36</x:v>
      </x:c>
    </x:row>
    <x:row r="2618">
      <x:c r="A2618" t="str">
        <x:v>TLALPAN</x:v>
      </x:c>
      <x:c r="B2618" t="str">
        <x:v>Tezontitla</x:v>
      </x:c>
      <x:c r="C2618" t="str">
        <x:v>Mujer</x:v>
      </x:c>
      <x:c r="D2618" t="str">
        <x:v>g) 30 a 34 años</x:v>
      </x:c>
      <x:c r="E2618" s="1" t="n">
        <x:v>29</x:v>
      </x:c>
    </x:row>
    <x:row r="2619">
      <x:c r="A2619" t="str">
        <x:v>TLALPAN</x:v>
      </x:c>
      <x:c r="B2619" t="str">
        <x:v>Tezontitla</x:v>
      </x:c>
      <x:c r="C2619" t="str">
        <x:v>Mujer</x:v>
      </x:c>
      <x:c r="D2619" t="str">
        <x:v>h) 35 a 39 años</x:v>
      </x:c>
      <x:c r="E2619" s="1" t="n">
        <x:v>36</x:v>
      </x:c>
    </x:row>
    <x:row r="2620">
      <x:c r="A2620" t="str">
        <x:v>TLALPAN</x:v>
      </x:c>
      <x:c r="B2620" t="str">
        <x:v>Tezontitla</x:v>
      </x:c>
      <x:c r="C2620" t="str">
        <x:v>Mujer</x:v>
      </x:c>
      <x:c r="D2620" t="str">
        <x:v>i) 40 a 44 años</x:v>
      </x:c>
      <x:c r="E2620" s="1" t="n">
        <x:v>43</x:v>
      </x:c>
    </x:row>
    <x:row r="2621">
      <x:c r="A2621" t="str">
        <x:v>TLALPAN</x:v>
      </x:c>
      <x:c r="B2621" t="str">
        <x:v>Tezontitla</x:v>
      </x:c>
      <x:c r="C2621" t="str">
        <x:v>Mujer</x:v>
      </x:c>
      <x:c r="D2621" t="str">
        <x:v>j) 45 a 49 años</x:v>
      </x:c>
      <x:c r="E2621" s="1" t="n">
        <x:v>24</x:v>
      </x:c>
    </x:row>
    <x:row r="2622">
      <x:c r="A2622" t="str">
        <x:v>TLALPAN</x:v>
      </x:c>
      <x:c r="B2622" t="str">
        <x:v>Tezontitla</x:v>
      </x:c>
      <x:c r="C2622" t="str">
        <x:v>Mujer</x:v>
      </x:c>
      <x:c r="D2622" t="str">
        <x:v>k) 50 a 54 años</x:v>
      </x:c>
      <x:c r="E2622" s="1" t="n">
        <x:v>29</x:v>
      </x:c>
    </x:row>
    <x:row r="2623">
      <x:c r="A2623" t="str">
        <x:v>TLALPAN</x:v>
      </x:c>
      <x:c r="B2623" t="str">
        <x:v>Tezontitla</x:v>
      </x:c>
      <x:c r="C2623" t="str">
        <x:v>Mujer</x:v>
      </x:c>
      <x:c r="D2623" t="str">
        <x:v>l) 55 a 59 años</x:v>
      </x:c>
      <x:c r="E2623" s="1" t="n">
        <x:v>18</x:v>
      </x:c>
    </x:row>
    <x:row r="2624">
      <x:c r="A2624" t="str">
        <x:v>TLALPAN</x:v>
      </x:c>
      <x:c r="B2624" t="str">
        <x:v>Tezontitla</x:v>
      </x:c>
      <x:c r="C2624" t="str">
        <x:v>Mujer</x:v>
      </x:c>
      <x:c r="D2624" t="str">
        <x:v>m) 60 a 64 años</x:v>
      </x:c>
      <x:c r="E2624" s="1" t="n">
        <x:v>24</x:v>
      </x:c>
    </x:row>
    <x:row r="2625">
      <x:c r="A2625" t="str">
        <x:v>TLALPAN</x:v>
      </x:c>
      <x:c r="B2625" t="str">
        <x:v>Tezontitla</x:v>
      </x:c>
      <x:c r="C2625" t="str">
        <x:v>Mujer</x:v>
      </x:c>
      <x:c r="D2625" t="str">
        <x:v>n) 65 a 69 años</x:v>
      </x:c>
      <x:c r="E2625" s="1" t="n">
        <x:v>14</x:v>
      </x:c>
    </x:row>
    <x:row r="2626">
      <x:c r="A2626" t="str">
        <x:v>TLALPAN</x:v>
      </x:c>
      <x:c r="B2626" t="str">
        <x:v>Tezontitla</x:v>
      </x:c>
      <x:c r="C2626" t="str">
        <x:v>Mujer</x:v>
      </x:c>
      <x:c r="D2626" t="str">
        <x:v>o) 70 a 74 años</x:v>
      </x:c>
      <x:c r="E2626" s="1" t="n">
        <x:v>6</x:v>
      </x:c>
    </x:row>
    <x:row r="2627">
      <x:c r="A2627" t="str">
        <x:v>TLALPAN</x:v>
      </x:c>
      <x:c r="B2627" t="str">
        <x:v>Tezontitla</x:v>
      </x:c>
      <x:c r="C2627" t="str">
        <x:v>Mujer</x:v>
      </x:c>
      <x:c r="D2627" t="str">
        <x:v>p) 75 a 79 años</x:v>
      </x:c>
      <x:c r="E2627" s="1" t="n">
        <x:v>1</x:v>
      </x:c>
    </x:row>
    <x:row r="2628">
      <x:c r="A2628" t="str">
        <x:v>TLALPAN</x:v>
      </x:c>
      <x:c r="B2628" t="str">
        <x:v>Tezontitla</x:v>
      </x:c>
      <x:c r="C2628" t="str">
        <x:v>Mujer</x:v>
      </x:c>
      <x:c r="D2628" t="str">
        <x:v>q) 80 a 84 años</x:v>
      </x:c>
      <x:c r="E2628" s="1" t="n">
        <x:v>2</x:v>
      </x:c>
    </x:row>
    <x:row r="2629">
      <x:c r="A2629" t="str">
        <x:v>TLALPAN</x:v>
      </x:c>
      <x:c r="B2629" t="str">
        <x:v>Tezontitla</x:v>
      </x:c>
      <x:c r="C2629" t="str">
        <x:v>Mujer</x:v>
      </x:c>
      <x:c r="D2629" t="str">
        <x:v>r) 85 años y más</x:v>
      </x:c>
      <x:c r="E2629" s="1" t="n">
        <x:v>1</x:v>
      </x:c>
    </x:row>
    <x:row r="2630">
      <x:c r="A2630" t="str">
        <x:v>XOCHIMILCO</x:v>
      </x:c>
      <x:c r="B2630" t="str">
        <x:v>Xochimilco</x:v>
      </x:c>
      <x:c r="C2630" t="str">
        <x:v>Hombre</x:v>
      </x:c>
      <x:c r="D2630" t="str">
        <x:v>a) 0 a 4 años</x:v>
      </x:c>
      <x:c r="E2630" s="1" t="n">
        <x:v>12082</x:v>
      </x:c>
    </x:row>
    <x:row r="2631">
      <x:c r="A2631" t="str">
        <x:v>XOCHIMILCO</x:v>
      </x:c>
      <x:c r="B2631" t="str">
        <x:v>Xochimilco</x:v>
      </x:c>
      <x:c r="C2631" t="str">
        <x:v>Hombre</x:v>
      </x:c>
      <x:c r="D2631" t="str">
        <x:v>b) 5 a 9 años</x:v>
      </x:c>
      <x:c r="E2631" s="1" t="n">
        <x:v>15137</x:v>
      </x:c>
    </x:row>
    <x:row r="2632">
      <x:c r="A2632" t="str">
        <x:v>XOCHIMILCO</x:v>
      </x:c>
      <x:c r="B2632" t="str">
        <x:v>Xochimilco</x:v>
      </x:c>
      <x:c r="C2632" t="str">
        <x:v>Hombre</x:v>
      </x:c>
      <x:c r="D2632" t="str">
        <x:v>c) 10 a 14 años</x:v>
      </x:c>
      <x:c r="E2632" s="1" t="n">
        <x:v>16419</x:v>
      </x:c>
    </x:row>
    <x:row r="2633">
      <x:c r="A2633" t="str">
        <x:v>XOCHIMILCO</x:v>
      </x:c>
      <x:c r="B2633" t="str">
        <x:v>Xochimilco</x:v>
      </x:c>
      <x:c r="C2633" t="str">
        <x:v>Hombre</x:v>
      </x:c>
      <x:c r="D2633" t="str">
        <x:v>d) 15 a 19 años</x:v>
      </x:c>
      <x:c r="E2633" s="1" t="n">
        <x:v>17122</x:v>
      </x:c>
    </x:row>
    <x:row r="2634">
      <x:c r="A2634" t="str">
        <x:v>XOCHIMILCO</x:v>
      </x:c>
      <x:c r="B2634" t="str">
        <x:v>Xochimilco</x:v>
      </x:c>
      <x:c r="C2634" t="str">
        <x:v>Hombre</x:v>
      </x:c>
      <x:c r="D2634" t="str">
        <x:v>e) 20 a 24 años</x:v>
      </x:c>
      <x:c r="E2634" s="1" t="n">
        <x:v>18045</x:v>
      </x:c>
    </x:row>
    <x:row r="2635">
      <x:c r="A2635" t="str">
        <x:v>XOCHIMILCO</x:v>
      </x:c>
      <x:c r="B2635" t="str">
        <x:v>Xochimilco</x:v>
      </x:c>
      <x:c r="C2635" t="str">
        <x:v>Hombre</x:v>
      </x:c>
      <x:c r="D2635" t="str">
        <x:v>f) 25 a 29 años</x:v>
      </x:c>
      <x:c r="E2635" s="1" t="n">
        <x:v>18025</x:v>
      </x:c>
    </x:row>
    <x:row r="2636">
      <x:c r="A2636" t="str">
        <x:v>XOCHIMILCO</x:v>
      </x:c>
      <x:c r="B2636" t="str">
        <x:v>Xochimilco</x:v>
      </x:c>
      <x:c r="C2636" t="str">
        <x:v>Hombre</x:v>
      </x:c>
      <x:c r="D2636" t="str">
        <x:v>g) 30 a 34 años</x:v>
      </x:c>
      <x:c r="E2636" s="1" t="n">
        <x:v>16510</x:v>
      </x:c>
    </x:row>
    <x:row r="2637">
      <x:c r="A2637" t="str">
        <x:v>XOCHIMILCO</x:v>
      </x:c>
      <x:c r="B2637" t="str">
        <x:v>Xochimilco</x:v>
      </x:c>
      <x:c r="C2637" t="str">
        <x:v>Hombre</x:v>
      </x:c>
      <x:c r="D2637" t="str">
        <x:v>h) 35 a 39 años</x:v>
      </x:c>
      <x:c r="E2637" s="1" t="n">
        <x:v>15713</x:v>
      </x:c>
    </x:row>
    <x:row r="2638">
      <x:c r="A2638" t="str">
        <x:v>XOCHIMILCO</x:v>
      </x:c>
      <x:c r="B2638" t="str">
        <x:v>Xochimilco</x:v>
      </x:c>
      <x:c r="C2638" t="str">
        <x:v>Hombre</x:v>
      </x:c>
      <x:c r="D2638" t="str">
        <x:v>i) 40 a 44 años</x:v>
      </x:c>
      <x:c r="E2638" s="1" t="n">
        <x:v>14721</x:v>
      </x:c>
    </x:row>
    <x:row r="2639">
      <x:c r="A2639" t="str">
        <x:v>XOCHIMILCO</x:v>
      </x:c>
      <x:c r="B2639" t="str">
        <x:v>Xochimilco</x:v>
      </x:c>
      <x:c r="C2639" t="str">
        <x:v>Hombre</x:v>
      </x:c>
      <x:c r="D2639" t="str">
        <x:v>j) 45 a 49 años</x:v>
      </x:c>
      <x:c r="E2639" s="1" t="n">
        <x:v>14312</x:v>
      </x:c>
    </x:row>
    <x:row r="2640">
      <x:c r="A2640" t="str">
        <x:v>XOCHIMILCO</x:v>
      </x:c>
      <x:c r="B2640" t="str">
        <x:v>Xochimilco</x:v>
      </x:c>
      <x:c r="C2640" t="str">
        <x:v>Hombre</x:v>
      </x:c>
      <x:c r="D2640" t="str">
        <x:v>k) 50 a 54 años</x:v>
      </x:c>
      <x:c r="E2640" s="1" t="n">
        <x:v>13263</x:v>
      </x:c>
    </x:row>
    <x:row r="2641">
      <x:c r="A2641" t="str">
        <x:v>XOCHIMILCO</x:v>
      </x:c>
      <x:c r="B2641" t="str">
        <x:v>Xochimilco</x:v>
      </x:c>
      <x:c r="C2641" t="str">
        <x:v>Hombre</x:v>
      </x:c>
      <x:c r="D2641" t="str">
        <x:v>l) 55 a 59 años</x:v>
      </x:c>
      <x:c r="E2641" s="1" t="n">
        <x:v>10832</x:v>
      </x:c>
    </x:row>
    <x:row r="2642">
      <x:c r="A2642" t="str">
        <x:v>XOCHIMILCO</x:v>
      </x:c>
      <x:c r="B2642" t="str">
        <x:v>Xochimilco</x:v>
      </x:c>
      <x:c r="C2642" t="str">
        <x:v>Hombre</x:v>
      </x:c>
      <x:c r="D2642" t="str">
        <x:v>m) 60 a 64 años</x:v>
      </x:c>
      <x:c r="E2642" s="1" t="n">
        <x:v>9180</x:v>
      </x:c>
    </x:row>
    <x:row r="2643">
      <x:c r="A2643" t="str">
        <x:v>XOCHIMILCO</x:v>
      </x:c>
      <x:c r="B2643" t="str">
        <x:v>Xochimilco</x:v>
      </x:c>
      <x:c r="C2643" t="str">
        <x:v>Hombre</x:v>
      </x:c>
      <x:c r="D2643" t="str">
        <x:v>n) 65 a 69 años</x:v>
      </x:c>
      <x:c r="E2643" s="1" t="n">
        <x:v>6729</x:v>
      </x:c>
    </x:row>
    <x:row r="2644">
      <x:c r="A2644" t="str">
        <x:v>XOCHIMILCO</x:v>
      </x:c>
      <x:c r="B2644" t="str">
        <x:v>Xochimilco</x:v>
      </x:c>
      <x:c r="C2644" t="str">
        <x:v>Hombre</x:v>
      </x:c>
      <x:c r="D2644" t="str">
        <x:v>o) 70 a 74 años</x:v>
      </x:c>
      <x:c r="E2644" s="1" t="n">
        <x:v>4793</x:v>
      </x:c>
    </x:row>
    <x:row r="2645">
      <x:c r="A2645" t="str">
        <x:v>XOCHIMILCO</x:v>
      </x:c>
      <x:c r="B2645" t="str">
        <x:v>Xochimilco</x:v>
      </x:c>
      <x:c r="C2645" t="str">
        <x:v>Hombre</x:v>
      </x:c>
      <x:c r="D2645" t="str">
        <x:v>p) 75 a 79 años</x:v>
      </x:c>
      <x:c r="E2645" s="1" t="n">
        <x:v>3004</x:v>
      </x:c>
    </x:row>
    <x:row r="2646">
      <x:c r="A2646" t="str">
        <x:v>XOCHIMILCO</x:v>
      </x:c>
      <x:c r="B2646" t="str">
        <x:v>Xochimilco</x:v>
      </x:c>
      <x:c r="C2646" t="str">
        <x:v>Hombre</x:v>
      </x:c>
      <x:c r="D2646" t="str">
        <x:v>q) 80 a 84 años</x:v>
      </x:c>
      <x:c r="E2646" s="1" t="n">
        <x:v>1700</x:v>
      </x:c>
    </x:row>
    <x:row r="2647">
      <x:c r="A2647" t="str">
        <x:v>XOCHIMILCO</x:v>
      </x:c>
      <x:c r="B2647" t="str">
        <x:v>Xochimilco</x:v>
      </x:c>
      <x:c r="C2647" t="str">
        <x:v>Hombre</x:v>
      </x:c>
      <x:c r="D2647" t="str">
        <x:v>r) 85 años y más</x:v>
      </x:c>
      <x:c r="E2647" s="1" t="n">
        <x:v>1398</x:v>
      </x:c>
    </x:row>
    <x:row r="2648">
      <x:c r="A2648" t="str">
        <x:v>XOCHIMILCO</x:v>
      </x:c>
      <x:c r="B2648" t="str">
        <x:v>Xochimilco</x:v>
      </x:c>
      <x:c r="C2648" t="str">
        <x:v>Mujer</x:v>
      </x:c>
      <x:c r="D2648" t="str">
        <x:v>a) 0 a 4 años</x:v>
      </x:c>
      <x:c r="E2648" s="1" t="n">
        <x:v>11894</x:v>
      </x:c>
    </x:row>
    <x:row r="2649">
      <x:c r="A2649" t="str">
        <x:v>XOCHIMILCO</x:v>
      </x:c>
      <x:c r="B2649" t="str">
        <x:v>Xochimilco</x:v>
      </x:c>
      <x:c r="C2649" t="str">
        <x:v>Mujer</x:v>
      </x:c>
      <x:c r="D2649" t="str">
        <x:v>b) 5 a 9 años</x:v>
      </x:c>
      <x:c r="E2649" s="1" t="n">
        <x:v>14670</x:v>
      </x:c>
    </x:row>
    <x:row r="2650">
      <x:c r="A2650" t="str">
        <x:v>XOCHIMILCO</x:v>
      </x:c>
      <x:c r="B2650" t="str">
        <x:v>Xochimilco</x:v>
      </x:c>
      <x:c r="C2650" t="str">
        <x:v>Mujer</x:v>
      </x:c>
      <x:c r="D2650" t="str">
        <x:v>c) 10 a 14 años</x:v>
      </x:c>
      <x:c r="E2650" s="1" t="n">
        <x:v>15675</x:v>
      </x:c>
    </x:row>
    <x:row r="2651">
      <x:c r="A2651" t="str">
        <x:v>XOCHIMILCO</x:v>
      </x:c>
      <x:c r="B2651" t="str">
        <x:v>Xochimilco</x:v>
      </x:c>
      <x:c r="C2651" t="str">
        <x:v>Mujer</x:v>
      </x:c>
      <x:c r="D2651" t="str">
        <x:v>d) 15 a 19 años</x:v>
      </x:c>
      <x:c r="E2651" s="1" t="n">
        <x:v>16677</x:v>
      </x:c>
    </x:row>
    <x:row r="2652">
      <x:c r="A2652" t="str">
        <x:v>XOCHIMILCO</x:v>
      </x:c>
      <x:c r="B2652" t="str">
        <x:v>Xochimilco</x:v>
      </x:c>
      <x:c r="C2652" t="str">
        <x:v>Mujer</x:v>
      </x:c>
      <x:c r="D2652" t="str">
        <x:v>e) 20 a 24 años</x:v>
      </x:c>
      <x:c r="E2652" s="1" t="n">
        <x:v>17760</x:v>
      </x:c>
    </x:row>
    <x:row r="2653">
      <x:c r="A2653" t="str">
        <x:v>XOCHIMILCO</x:v>
      </x:c>
      <x:c r="B2653" t="str">
        <x:v>Xochimilco</x:v>
      </x:c>
      <x:c r="C2653" t="str">
        <x:v>Mujer</x:v>
      </x:c>
      <x:c r="D2653" t="str">
        <x:v>f) 25 a 29 años</x:v>
      </x:c>
      <x:c r="E2653" s="1" t="n">
        <x:v>17415</x:v>
      </x:c>
    </x:row>
    <x:row r="2654">
      <x:c r="A2654" t="str">
        <x:v>XOCHIMILCO</x:v>
      </x:c>
      <x:c r="B2654" t="str">
        <x:v>Xochimilco</x:v>
      </x:c>
      <x:c r="C2654" t="str">
        <x:v>Mujer</x:v>
      </x:c>
      <x:c r="D2654" t="str">
        <x:v>g) 30 a 34 años</x:v>
      </x:c>
      <x:c r="E2654" s="1" t="n">
        <x:v>16764</x:v>
      </x:c>
    </x:row>
    <x:row r="2655">
      <x:c r="A2655" t="str">
        <x:v>XOCHIMILCO</x:v>
      </x:c>
      <x:c r="B2655" t="str">
        <x:v>Xochimilco</x:v>
      </x:c>
      <x:c r="C2655" t="str">
        <x:v>Mujer</x:v>
      </x:c>
      <x:c r="D2655" t="str">
        <x:v>h) 35 a 39 años</x:v>
      </x:c>
      <x:c r="E2655" s="1" t="n">
        <x:v>16573</x:v>
      </x:c>
    </x:row>
    <x:row r="2656">
      <x:c r="A2656" t="str">
        <x:v>XOCHIMILCO</x:v>
      </x:c>
      <x:c r="B2656" t="str">
        <x:v>Xochimilco</x:v>
      </x:c>
      <x:c r="C2656" t="str">
        <x:v>Mujer</x:v>
      </x:c>
      <x:c r="D2656" t="str">
        <x:v>i) 40 a 44 años</x:v>
      </x:c>
      <x:c r="E2656" s="1" t="n">
        <x:v>16093</x:v>
      </x:c>
    </x:row>
    <x:row r="2657">
      <x:c r="A2657" t="str">
        <x:v>XOCHIMILCO</x:v>
      </x:c>
      <x:c r="B2657" t="str">
        <x:v>Xochimilco</x:v>
      </x:c>
      <x:c r="C2657" t="str">
        <x:v>Mujer</x:v>
      </x:c>
      <x:c r="D2657" t="str">
        <x:v>j) 45 a 49 años</x:v>
      </x:c>
      <x:c r="E2657" s="1" t="n">
        <x:v>15930</x:v>
      </x:c>
    </x:row>
    <x:row r="2658">
      <x:c r="A2658" t="str">
        <x:v>XOCHIMILCO</x:v>
      </x:c>
      <x:c r="B2658" t="str">
        <x:v>Xochimilco</x:v>
      </x:c>
      <x:c r="C2658" t="str">
        <x:v>Mujer</x:v>
      </x:c>
      <x:c r="D2658" t="str">
        <x:v>k) 50 a 54 años</x:v>
      </x:c>
      <x:c r="E2658" s="1" t="n">
        <x:v>15154</x:v>
      </x:c>
    </x:row>
    <x:row r="2659">
      <x:c r="A2659" t="str">
        <x:v>XOCHIMILCO</x:v>
      </x:c>
      <x:c r="B2659" t="str">
        <x:v>Xochimilco</x:v>
      </x:c>
      <x:c r="C2659" t="str">
        <x:v>Mujer</x:v>
      </x:c>
      <x:c r="D2659" t="str">
        <x:v>l) 55 a 59 años</x:v>
      </x:c>
      <x:c r="E2659" s="1" t="n">
        <x:v>12473</x:v>
      </x:c>
    </x:row>
    <x:row r="2660">
      <x:c r="A2660" t="str">
        <x:v>XOCHIMILCO</x:v>
      </x:c>
      <x:c r="B2660" t="str">
        <x:v>Xochimilco</x:v>
      </x:c>
      <x:c r="C2660" t="str">
        <x:v>Mujer</x:v>
      </x:c>
      <x:c r="D2660" t="str">
        <x:v>m) 60 a 64 años</x:v>
      </x:c>
      <x:c r="E2660" s="1" t="n">
        <x:v>10731</x:v>
      </x:c>
    </x:row>
    <x:row r="2661">
      <x:c r="A2661" t="str">
        <x:v>XOCHIMILCO</x:v>
      </x:c>
      <x:c r="B2661" t="str">
        <x:v>Xochimilco</x:v>
      </x:c>
      <x:c r="C2661" t="str">
        <x:v>Mujer</x:v>
      </x:c>
      <x:c r="D2661" t="str">
        <x:v>n) 65 a 69 años</x:v>
      </x:c>
      <x:c r="E2661" s="1" t="n">
        <x:v>7958</x:v>
      </x:c>
    </x:row>
    <x:row r="2662">
      <x:c r="A2662" t="str">
        <x:v>XOCHIMILCO</x:v>
      </x:c>
      <x:c r="B2662" t="str">
        <x:v>Xochimilco</x:v>
      </x:c>
      <x:c r="C2662" t="str">
        <x:v>Mujer</x:v>
      </x:c>
      <x:c r="D2662" t="str">
        <x:v>o) 70 a 74 años</x:v>
      </x:c>
      <x:c r="E2662" s="1" t="n">
        <x:v>5920</x:v>
      </x:c>
    </x:row>
    <x:row r="2663">
      <x:c r="A2663" t="str">
        <x:v>XOCHIMILCO</x:v>
      </x:c>
      <x:c r="B2663" t="str">
        <x:v>Xochimilco</x:v>
      </x:c>
      <x:c r="C2663" t="str">
        <x:v>Mujer</x:v>
      </x:c>
      <x:c r="D2663" t="str">
        <x:v>p) 75 a 79 años</x:v>
      </x:c>
      <x:c r="E2663" s="1" t="n">
        <x:v>3700</x:v>
      </x:c>
    </x:row>
    <x:row r="2664">
      <x:c r="A2664" t="str">
        <x:v>XOCHIMILCO</x:v>
      </x:c>
      <x:c r="B2664" t="str">
        <x:v>Xochimilco</x:v>
      </x:c>
      <x:c r="C2664" t="str">
        <x:v>Mujer</x:v>
      </x:c>
      <x:c r="D2664" t="str">
        <x:v>q) 80 a 84 años</x:v>
      </x:c>
      <x:c r="E2664" s="1" t="n">
        <x:v>2484</x:v>
      </x:c>
    </x:row>
    <x:row r="2665">
      <x:c r="A2665" t="str">
        <x:v>XOCHIMILCO</x:v>
      </x:c>
      <x:c r="B2665" t="str">
        <x:v>Xochimilco</x:v>
      </x:c>
      <x:c r="C2665" t="str">
        <x:v>Mujer</x:v>
      </x:c>
      <x:c r="D2665" t="str">
        <x:v>r) 85 años y más</x:v>
      </x:c>
      <x:c r="E2665" s="1" t="n">
        <x:v>2416</x:v>
      </x:c>
    </x:row>
    <x:row r="2666">
      <x:c r="A2666" t="str">
        <x:v>XOCHIMILCO</x:v>
      </x:c>
      <x:c r="B2666" t="str">
        <x:v>Tepexomulco</x:v>
      </x:c>
      <x:c r="C2666" t="str">
        <x:v>Hombre</x:v>
      </x:c>
      <x:c r="D2666" t="str">
        <x:v>a) 0 a 4 años</x:v>
      </x:c>
      <x:c r="E2666" s="1" t="n">
        <x:v>19</x:v>
      </x:c>
    </x:row>
    <x:row r="2667">
      <x:c r="A2667" t="str">
        <x:v>XOCHIMILCO</x:v>
      </x:c>
      <x:c r="B2667" t="str">
        <x:v>Tepexomulco</x:v>
      </x:c>
      <x:c r="C2667" t="str">
        <x:v>Hombre</x:v>
      </x:c>
      <x:c r="D2667" t="str">
        <x:v>b) 5 a 9 años</x:v>
      </x:c>
      <x:c r="E2667" s="1" t="n">
        <x:v>22</x:v>
      </x:c>
    </x:row>
    <x:row r="2668">
      <x:c r="A2668" t="str">
        <x:v>XOCHIMILCO</x:v>
      </x:c>
      <x:c r="B2668" t="str">
        <x:v>Tepexomulco</x:v>
      </x:c>
      <x:c r="C2668" t="str">
        <x:v>Hombre</x:v>
      </x:c>
      <x:c r="D2668" t="str">
        <x:v>c) 10 a 14 años</x:v>
      </x:c>
      <x:c r="E2668" s="1" t="n">
        <x:v>18</x:v>
      </x:c>
    </x:row>
    <x:row r="2669">
      <x:c r="A2669" t="str">
        <x:v>XOCHIMILCO</x:v>
      </x:c>
      <x:c r="B2669" t="str">
        <x:v>Tepexomulco</x:v>
      </x:c>
      <x:c r="C2669" t="str">
        <x:v>Hombre</x:v>
      </x:c>
      <x:c r="D2669" t="str">
        <x:v>d) 15 a 19 años</x:v>
      </x:c>
      <x:c r="E2669" s="1" t="n">
        <x:v>27</x:v>
      </x:c>
    </x:row>
    <x:row r="2670">
      <x:c r="A2670" t="str">
        <x:v>XOCHIMILCO</x:v>
      </x:c>
      <x:c r="B2670" t="str">
        <x:v>Tepexomulco</x:v>
      </x:c>
      <x:c r="C2670" t="str">
        <x:v>Hombre</x:v>
      </x:c>
      <x:c r="D2670" t="str">
        <x:v>e) 20 a 24 años</x:v>
      </x:c>
      <x:c r="E2670" s="1" t="n">
        <x:v>25</x:v>
      </x:c>
    </x:row>
    <x:row r="2671">
      <x:c r="A2671" t="str">
        <x:v>XOCHIMILCO</x:v>
      </x:c>
      <x:c r="B2671" t="str">
        <x:v>Tepexomulco</x:v>
      </x:c>
      <x:c r="C2671" t="str">
        <x:v>Hombre</x:v>
      </x:c>
      <x:c r="D2671" t="str">
        <x:v>f) 25 a 29 años</x:v>
      </x:c>
      <x:c r="E2671" s="1" t="n">
        <x:v>25</x:v>
      </x:c>
    </x:row>
    <x:row r="2672">
      <x:c r="A2672" t="str">
        <x:v>XOCHIMILCO</x:v>
      </x:c>
      <x:c r="B2672" t="str">
        <x:v>Tepexomulco</x:v>
      </x:c>
      <x:c r="C2672" t="str">
        <x:v>Hombre</x:v>
      </x:c>
      <x:c r="D2672" t="str">
        <x:v>g) 30 a 34 años</x:v>
      </x:c>
      <x:c r="E2672" s="1" t="n">
        <x:v>29</x:v>
      </x:c>
    </x:row>
    <x:row r="2673">
      <x:c r="A2673" t="str">
        <x:v>XOCHIMILCO</x:v>
      </x:c>
      <x:c r="B2673" t="str">
        <x:v>Tepexomulco</x:v>
      </x:c>
      <x:c r="C2673" t="str">
        <x:v>Hombre</x:v>
      </x:c>
      <x:c r="D2673" t="str">
        <x:v>h) 35 a 39 años</x:v>
      </x:c>
      <x:c r="E2673" s="1" t="n">
        <x:v>19</x:v>
      </x:c>
    </x:row>
    <x:row r="2674">
      <x:c r="A2674" t="str">
        <x:v>XOCHIMILCO</x:v>
      </x:c>
      <x:c r="B2674" t="str">
        <x:v>Tepexomulco</x:v>
      </x:c>
      <x:c r="C2674" t="str">
        <x:v>Hombre</x:v>
      </x:c>
      <x:c r="D2674" t="str">
        <x:v>i) 40 a 44 años</x:v>
      </x:c>
      <x:c r="E2674" s="1" t="n">
        <x:v>24</x:v>
      </x:c>
    </x:row>
    <x:row r="2675">
      <x:c r="A2675" t="str">
        <x:v>XOCHIMILCO</x:v>
      </x:c>
      <x:c r="B2675" t="str">
        <x:v>Tepexomulco</x:v>
      </x:c>
      <x:c r="C2675" t="str">
        <x:v>Hombre</x:v>
      </x:c>
      <x:c r="D2675" t="str">
        <x:v>j) 45 a 49 años</x:v>
      </x:c>
      <x:c r="E2675" s="1" t="n">
        <x:v>13</x:v>
      </x:c>
    </x:row>
    <x:row r="2676">
      <x:c r="A2676" t="str">
        <x:v>XOCHIMILCO</x:v>
      </x:c>
      <x:c r="B2676" t="str">
        <x:v>Tepexomulco</x:v>
      </x:c>
      <x:c r="C2676" t="str">
        <x:v>Hombre</x:v>
      </x:c>
      <x:c r="D2676" t="str">
        <x:v>k) 50 a 54 años</x:v>
      </x:c>
      <x:c r="E2676" s="1" t="n">
        <x:v>22</x:v>
      </x:c>
    </x:row>
    <x:row r="2677">
      <x:c r="A2677" t="str">
        <x:v>XOCHIMILCO</x:v>
      </x:c>
      <x:c r="B2677" t="str">
        <x:v>Tepexomulco</x:v>
      </x:c>
      <x:c r="C2677" t="str">
        <x:v>Hombre</x:v>
      </x:c>
      <x:c r="D2677" t="str">
        <x:v>l) 55 a 59 años</x:v>
      </x:c>
      <x:c r="E2677" s="1" t="n">
        <x:v>15</x:v>
      </x:c>
    </x:row>
    <x:row r="2678">
      <x:c r="A2678" t="str">
        <x:v>XOCHIMILCO</x:v>
      </x:c>
      <x:c r="B2678" t="str">
        <x:v>Tepexomulco</x:v>
      </x:c>
      <x:c r="C2678" t="str">
        <x:v>Hombre</x:v>
      </x:c>
      <x:c r="D2678" t="str">
        <x:v>m) 60 a 64 años</x:v>
      </x:c>
      <x:c r="E2678" s="1" t="n">
        <x:v>9</x:v>
      </x:c>
    </x:row>
    <x:row r="2679">
      <x:c r="A2679" t="str">
        <x:v>XOCHIMILCO</x:v>
      </x:c>
      <x:c r="B2679" t="str">
        <x:v>Tepexomulco</x:v>
      </x:c>
      <x:c r="C2679" t="str">
        <x:v>Hombre</x:v>
      </x:c>
      <x:c r="D2679" t="str">
        <x:v>n) 65 a 69 años</x:v>
      </x:c>
      <x:c r="E2679" s="1" t="n">
        <x:v>2</x:v>
      </x:c>
    </x:row>
    <x:row r="2680">
      <x:c r="A2680" t="str">
        <x:v>XOCHIMILCO</x:v>
      </x:c>
      <x:c r="B2680" t="str">
        <x:v>Tepexomulco</x:v>
      </x:c>
      <x:c r="C2680" t="str">
        <x:v>Hombre</x:v>
      </x:c>
      <x:c r="D2680" t="str">
        <x:v>o) 70 a 74 años</x:v>
      </x:c>
      <x:c r="E2680" s="1" t="n">
        <x:v>2</x:v>
      </x:c>
    </x:row>
    <x:row r="2681">
      <x:c r="A2681" t="str">
        <x:v>XOCHIMILCO</x:v>
      </x:c>
      <x:c r="B2681" t="str">
        <x:v>Tepexomulco</x:v>
      </x:c>
      <x:c r="C2681" t="str">
        <x:v>Hombre</x:v>
      </x:c>
      <x:c r="D2681" t="str">
        <x:v>p) 75 a 79 años</x:v>
      </x:c>
      <x:c r="E2681" s="1" t="n">
        <x:v>1</x:v>
      </x:c>
    </x:row>
    <x:row r="2682">
      <x:c r="A2682" t="str">
        <x:v>XOCHIMILCO</x:v>
      </x:c>
      <x:c r="B2682" t="str">
        <x:v>Tepexomulco</x:v>
      </x:c>
      <x:c r="C2682" t="str">
        <x:v>Hombre</x:v>
      </x:c>
      <x:c r="D2682" t="str">
        <x:v>q) 80 a 84 años</x:v>
      </x:c>
      <x:c r="E2682" s="1" t="n">
        <x:v>1</x:v>
      </x:c>
    </x:row>
    <x:row r="2683">
      <x:c r="A2683" t="str">
        <x:v>XOCHIMILCO</x:v>
      </x:c>
      <x:c r="B2683" t="str">
        <x:v>Tepexomulco</x:v>
      </x:c>
      <x:c r="C2683" t="str">
        <x:v>Hombre</x:v>
      </x:c>
      <x:c r="D2683" t="str">
        <x:v>r) 85 años y más</x:v>
      </x:c>
      <x:c r="E2683" s="1" t="n">
        <x:v>0</x:v>
      </x:c>
    </x:row>
    <x:row r="2684">
      <x:c r="A2684" t="str">
        <x:v>XOCHIMILCO</x:v>
      </x:c>
      <x:c r="B2684" t="str">
        <x:v>Tepexomulco</x:v>
      </x:c>
      <x:c r="C2684" t="str">
        <x:v>Mujer</x:v>
      </x:c>
      <x:c r="D2684" t="str">
        <x:v>a) 0 a 4 años</x:v>
      </x:c>
      <x:c r="E2684" s="1" t="n">
        <x:v>21</x:v>
      </x:c>
    </x:row>
    <x:row r="2685">
      <x:c r="A2685" t="str">
        <x:v>XOCHIMILCO</x:v>
      </x:c>
      <x:c r="B2685" t="str">
        <x:v>Tepexomulco</x:v>
      </x:c>
      <x:c r="C2685" t="str">
        <x:v>Mujer</x:v>
      </x:c>
      <x:c r="D2685" t="str">
        <x:v>b) 5 a 9 años</x:v>
      </x:c>
      <x:c r="E2685" s="1" t="n">
        <x:v>25</x:v>
      </x:c>
    </x:row>
    <x:row r="2686">
      <x:c r="A2686" t="str">
        <x:v>XOCHIMILCO</x:v>
      </x:c>
      <x:c r="B2686" t="str">
        <x:v>Tepexomulco</x:v>
      </x:c>
      <x:c r="C2686" t="str">
        <x:v>Mujer</x:v>
      </x:c>
      <x:c r="D2686" t="str">
        <x:v>c) 10 a 14 años</x:v>
      </x:c>
      <x:c r="E2686" s="1" t="n">
        <x:v>25</x:v>
      </x:c>
    </x:row>
    <x:row r="2687">
      <x:c r="A2687" t="str">
        <x:v>XOCHIMILCO</x:v>
      </x:c>
      <x:c r="B2687" t="str">
        <x:v>Tepexomulco</x:v>
      </x:c>
      <x:c r="C2687" t="str">
        <x:v>Mujer</x:v>
      </x:c>
      <x:c r="D2687" t="str">
        <x:v>d) 15 a 19 años</x:v>
      </x:c>
      <x:c r="E2687" s="1" t="n">
        <x:v>27</x:v>
      </x:c>
    </x:row>
    <x:row r="2688">
      <x:c r="A2688" t="str">
        <x:v>XOCHIMILCO</x:v>
      </x:c>
      <x:c r="B2688" t="str">
        <x:v>Tepexomulco</x:v>
      </x:c>
      <x:c r="C2688" t="str">
        <x:v>Mujer</x:v>
      </x:c>
      <x:c r="D2688" t="str">
        <x:v>e) 20 a 24 años</x:v>
      </x:c>
      <x:c r="E2688" s="1" t="n">
        <x:v>21</x:v>
      </x:c>
    </x:row>
    <x:row r="2689">
      <x:c r="A2689" t="str">
        <x:v>XOCHIMILCO</x:v>
      </x:c>
      <x:c r="B2689" t="str">
        <x:v>Tepexomulco</x:v>
      </x:c>
      <x:c r="C2689" t="str">
        <x:v>Mujer</x:v>
      </x:c>
      <x:c r="D2689" t="str">
        <x:v>f) 25 a 29 años</x:v>
      </x:c>
      <x:c r="E2689" s="1" t="n">
        <x:v>20</x:v>
      </x:c>
    </x:row>
    <x:row r="2690">
      <x:c r="A2690" t="str">
        <x:v>XOCHIMILCO</x:v>
      </x:c>
      <x:c r="B2690" t="str">
        <x:v>Tepexomulco</x:v>
      </x:c>
      <x:c r="C2690" t="str">
        <x:v>Mujer</x:v>
      </x:c>
      <x:c r="D2690" t="str">
        <x:v>g) 30 a 34 años</x:v>
      </x:c>
      <x:c r="E2690" s="1" t="n">
        <x:v>25</x:v>
      </x:c>
    </x:row>
    <x:row r="2691">
      <x:c r="A2691" t="str">
        <x:v>XOCHIMILCO</x:v>
      </x:c>
      <x:c r="B2691" t="str">
        <x:v>Tepexomulco</x:v>
      </x:c>
      <x:c r="C2691" t="str">
        <x:v>Mujer</x:v>
      </x:c>
      <x:c r="D2691" t="str">
        <x:v>h) 35 a 39 años</x:v>
      </x:c>
      <x:c r="E2691" s="1" t="n">
        <x:v>21</x:v>
      </x:c>
    </x:row>
    <x:row r="2692">
      <x:c r="A2692" t="str">
        <x:v>XOCHIMILCO</x:v>
      </x:c>
      <x:c r="B2692" t="str">
        <x:v>Tepexomulco</x:v>
      </x:c>
      <x:c r="C2692" t="str">
        <x:v>Mujer</x:v>
      </x:c>
      <x:c r="D2692" t="str">
        <x:v>i) 40 a 44 años</x:v>
      </x:c>
      <x:c r="E2692" s="1" t="n">
        <x:v>20</x:v>
      </x:c>
    </x:row>
    <x:row r="2693">
      <x:c r="A2693" t="str">
        <x:v>XOCHIMILCO</x:v>
      </x:c>
      <x:c r="B2693" t="str">
        <x:v>Tepexomulco</x:v>
      </x:c>
      <x:c r="C2693" t="str">
        <x:v>Mujer</x:v>
      </x:c>
      <x:c r="D2693" t="str">
        <x:v>j) 45 a 49 años</x:v>
      </x:c>
      <x:c r="E2693" s="1" t="n">
        <x:v>16</x:v>
      </x:c>
    </x:row>
    <x:row r="2694">
      <x:c r="A2694" t="str">
        <x:v>XOCHIMILCO</x:v>
      </x:c>
      <x:c r="B2694" t="str">
        <x:v>Tepexomulco</x:v>
      </x:c>
      <x:c r="C2694" t="str">
        <x:v>Mujer</x:v>
      </x:c>
      <x:c r="D2694" t="str">
        <x:v>k) 50 a 54 años</x:v>
      </x:c>
      <x:c r="E2694" s="1" t="n">
        <x:v>17</x:v>
      </x:c>
    </x:row>
    <x:row r="2695">
      <x:c r="A2695" t="str">
        <x:v>XOCHIMILCO</x:v>
      </x:c>
      <x:c r="B2695" t="str">
        <x:v>Tepexomulco</x:v>
      </x:c>
      <x:c r="C2695" t="str">
        <x:v>Mujer</x:v>
      </x:c>
      <x:c r="D2695" t="str">
        <x:v>l) 55 a 59 años</x:v>
      </x:c>
      <x:c r="E2695" s="1" t="n">
        <x:v>19</x:v>
      </x:c>
    </x:row>
    <x:row r="2696">
      <x:c r="A2696" t="str">
        <x:v>XOCHIMILCO</x:v>
      </x:c>
      <x:c r="B2696" t="str">
        <x:v>Tepexomulco</x:v>
      </x:c>
      <x:c r="C2696" t="str">
        <x:v>Mujer</x:v>
      </x:c>
      <x:c r="D2696" t="str">
        <x:v>m) 60 a 64 años</x:v>
      </x:c>
      <x:c r="E2696" s="1" t="n">
        <x:v>7</x:v>
      </x:c>
    </x:row>
    <x:row r="2697">
      <x:c r="A2697" t="str">
        <x:v>XOCHIMILCO</x:v>
      </x:c>
      <x:c r="B2697" t="str">
        <x:v>Tepexomulco</x:v>
      </x:c>
      <x:c r="C2697" t="str">
        <x:v>Mujer</x:v>
      </x:c>
      <x:c r="D2697" t="str">
        <x:v>n) 65 a 69 años</x:v>
      </x:c>
      <x:c r="E2697" s="1" t="n">
        <x:v>6</x:v>
      </x:c>
    </x:row>
    <x:row r="2698">
      <x:c r="A2698" t="str">
        <x:v>XOCHIMILCO</x:v>
      </x:c>
      <x:c r="B2698" t="str">
        <x:v>Tepexomulco</x:v>
      </x:c>
      <x:c r="C2698" t="str">
        <x:v>Mujer</x:v>
      </x:c>
      <x:c r="D2698" t="str">
        <x:v>o) 70 a 74 años</x:v>
      </x:c>
      <x:c r="E2698" s="1" t="n">
        <x:v>8</x:v>
      </x:c>
    </x:row>
    <x:row r="2699">
      <x:c r="A2699" t="str">
        <x:v>XOCHIMILCO</x:v>
      </x:c>
      <x:c r="B2699" t="str">
        <x:v>Tepexomulco</x:v>
      </x:c>
      <x:c r="C2699" t="str">
        <x:v>Mujer</x:v>
      </x:c>
      <x:c r="D2699" t="str">
        <x:v>p) 75 a 79 años</x:v>
      </x:c>
      <x:c r="E2699" s="1" t="n">
        <x:v>2</x:v>
      </x:c>
    </x:row>
    <x:row r="2700">
      <x:c r="A2700" t="str">
        <x:v>XOCHIMILCO</x:v>
      </x:c>
      <x:c r="B2700" t="str">
        <x:v>Tepexomulco</x:v>
      </x:c>
      <x:c r="C2700" t="str">
        <x:v>Mujer</x:v>
      </x:c>
      <x:c r="D2700" t="str">
        <x:v>q) 80 a 84 años</x:v>
      </x:c>
      <x:c r="E2700" s="1" t="n">
        <x:v>2</x:v>
      </x:c>
    </x:row>
    <x:row r="2701">
      <x:c r="A2701" t="str">
        <x:v>XOCHIMILCO</x:v>
      </x:c>
      <x:c r="B2701" t="str">
        <x:v>Tepexomulco</x:v>
      </x:c>
      <x:c r="C2701" t="str">
        <x:v>Mujer</x:v>
      </x:c>
      <x:c r="D2701" t="str">
        <x:v>r) 85 años y más</x:v>
      </x:c>
      <x:c r="E2701" s="1" t="n">
        <x:v>0</x:v>
      </x:c>
    </x:row>
    <x:row r="2702">
      <x:c r="A2702" t="str">
        <x:v>XOCHIMILCO</x:v>
      </x:c>
      <x:c r="B2702" t="str">
        <x:v>Tlachiultepec de Ahuayucan (Las Malvinas)</x:v>
      </x:c>
      <x:c r="C2702" t="str">
        <x:v>Hombre</x:v>
      </x:c>
      <x:c r="D2702" t="str">
        <x:v>a) 0 a 4 años</x:v>
      </x:c>
      <x:c r="E2702" s="1" t="n">
        <x:v>4</x:v>
      </x:c>
    </x:row>
    <x:row r="2703">
      <x:c r="A2703" t="str">
        <x:v>XOCHIMILCO</x:v>
      </x:c>
      <x:c r="B2703" t="str">
        <x:v>Tlachiultepec de Ahuayucan (Las Malvinas)</x:v>
      </x:c>
      <x:c r="C2703" t="str">
        <x:v>Hombre</x:v>
      </x:c>
      <x:c r="D2703" t="str">
        <x:v>b) 5 a 9 años</x:v>
      </x:c>
      <x:c r="E2703" s="1" t="n">
        <x:v>17</x:v>
      </x:c>
    </x:row>
    <x:row r="2704">
      <x:c r="A2704" t="str">
        <x:v>XOCHIMILCO</x:v>
      </x:c>
      <x:c r="B2704" t="str">
        <x:v>Tlachiultepec de Ahuayucan (Las Malvinas)</x:v>
      </x:c>
      <x:c r="C2704" t="str">
        <x:v>Hombre</x:v>
      </x:c>
      <x:c r="D2704" t="str">
        <x:v>c) 10 a 14 años</x:v>
      </x:c>
      <x:c r="E2704" s="1" t="n">
        <x:v>13</x:v>
      </x:c>
    </x:row>
    <x:row r="2705">
      <x:c r="A2705" t="str">
        <x:v>XOCHIMILCO</x:v>
      </x:c>
      <x:c r="B2705" t="str">
        <x:v>Tlachiultepec de Ahuayucan (Las Malvinas)</x:v>
      </x:c>
      <x:c r="C2705" t="str">
        <x:v>Hombre</x:v>
      </x:c>
      <x:c r="D2705" t="str">
        <x:v>d) 15 a 19 años</x:v>
      </x:c>
      <x:c r="E2705" s="1" t="n">
        <x:v>12</x:v>
      </x:c>
    </x:row>
    <x:row r="2706">
      <x:c r="A2706" t="str">
        <x:v>XOCHIMILCO</x:v>
      </x:c>
      <x:c r="B2706" t="str">
        <x:v>Tlachiultepec de Ahuayucan (Las Malvinas)</x:v>
      </x:c>
      <x:c r="C2706" t="str">
        <x:v>Hombre</x:v>
      </x:c>
      <x:c r="D2706" t="str">
        <x:v>e) 20 a 24 años</x:v>
      </x:c>
      <x:c r="E2706" s="1" t="n">
        <x:v>10</x:v>
      </x:c>
    </x:row>
    <x:row r="2707">
      <x:c r="A2707" t="str">
        <x:v>XOCHIMILCO</x:v>
      </x:c>
      <x:c r="B2707" t="str">
        <x:v>Tlachiultepec de Ahuayucan (Las Malvinas)</x:v>
      </x:c>
      <x:c r="C2707" t="str">
        <x:v>Hombre</x:v>
      </x:c>
      <x:c r="D2707" t="str">
        <x:v>f) 25 a 29 años</x:v>
      </x:c>
      <x:c r="E2707" s="1" t="n">
        <x:v>12</x:v>
      </x:c>
    </x:row>
    <x:row r="2708">
      <x:c r="A2708" t="str">
        <x:v>XOCHIMILCO</x:v>
      </x:c>
      <x:c r="B2708" t="str">
        <x:v>Tlachiultepec de Ahuayucan (Las Malvinas)</x:v>
      </x:c>
      <x:c r="C2708" t="str">
        <x:v>Hombre</x:v>
      </x:c>
      <x:c r="D2708" t="str">
        <x:v>g) 30 a 34 años</x:v>
      </x:c>
      <x:c r="E2708" s="1" t="n">
        <x:v>17</x:v>
      </x:c>
    </x:row>
    <x:row r="2709">
      <x:c r="A2709" t="str">
        <x:v>XOCHIMILCO</x:v>
      </x:c>
      <x:c r="B2709" t="str">
        <x:v>Tlachiultepec de Ahuayucan (Las Malvinas)</x:v>
      </x:c>
      <x:c r="C2709" t="str">
        <x:v>Hombre</x:v>
      </x:c>
      <x:c r="D2709" t="str">
        <x:v>h) 35 a 39 años</x:v>
      </x:c>
      <x:c r="E2709" s="1" t="n">
        <x:v>9</x:v>
      </x:c>
    </x:row>
    <x:row r="2710">
      <x:c r="A2710" t="str">
        <x:v>XOCHIMILCO</x:v>
      </x:c>
      <x:c r="B2710" t="str">
        <x:v>Tlachiultepec de Ahuayucan (Las Malvinas)</x:v>
      </x:c>
      <x:c r="C2710" t="str">
        <x:v>Hombre</x:v>
      </x:c>
      <x:c r="D2710" t="str">
        <x:v>i) 40 a 44 años</x:v>
      </x:c>
      <x:c r="E2710" s="1" t="n">
        <x:v>9</x:v>
      </x:c>
    </x:row>
    <x:row r="2711">
      <x:c r="A2711" t="str">
        <x:v>XOCHIMILCO</x:v>
      </x:c>
      <x:c r="B2711" t="str">
        <x:v>Tlachiultepec de Ahuayucan (Las Malvinas)</x:v>
      </x:c>
      <x:c r="C2711" t="str">
        <x:v>Hombre</x:v>
      </x:c>
      <x:c r="D2711" t="str">
        <x:v>j) 45 a 49 años</x:v>
      </x:c>
      <x:c r="E2711" s="1" t="n">
        <x:v>1</x:v>
      </x:c>
    </x:row>
    <x:row r="2712">
      <x:c r="A2712" t="str">
        <x:v>XOCHIMILCO</x:v>
      </x:c>
      <x:c r="B2712" t="str">
        <x:v>Tlachiultepec de Ahuayucan (Las Malvinas)</x:v>
      </x:c>
      <x:c r="C2712" t="str">
        <x:v>Hombre</x:v>
      </x:c>
      <x:c r="D2712" t="str">
        <x:v>k) 50 a 54 años</x:v>
      </x:c>
      <x:c r="E2712" s="1" t="n">
        <x:v>6</x:v>
      </x:c>
    </x:row>
    <x:row r="2713">
      <x:c r="A2713" t="str">
        <x:v>XOCHIMILCO</x:v>
      </x:c>
      <x:c r="B2713" t="str">
        <x:v>Tlachiultepec de Ahuayucan (Las Malvinas)</x:v>
      </x:c>
      <x:c r="C2713" t="str">
        <x:v>Hombre</x:v>
      </x:c>
      <x:c r="D2713" t="str">
        <x:v>l) 55 a 59 años</x:v>
      </x:c>
      <x:c r="E2713" s="1" t="n">
        <x:v>4</x:v>
      </x:c>
    </x:row>
    <x:row r="2714">
      <x:c r="A2714" t="str">
        <x:v>XOCHIMILCO</x:v>
      </x:c>
      <x:c r="B2714" t="str">
        <x:v>Tlachiultepec de Ahuayucan (Las Malvinas)</x:v>
      </x:c>
      <x:c r="C2714" t="str">
        <x:v>Hombre</x:v>
      </x:c>
      <x:c r="D2714" t="str">
        <x:v>m) 60 a 64 años</x:v>
      </x:c>
      <x:c r="E2714" s="1" t="n">
        <x:v>5</x:v>
      </x:c>
    </x:row>
    <x:row r="2715">
      <x:c r="A2715" t="str">
        <x:v>XOCHIMILCO</x:v>
      </x:c>
      <x:c r="B2715" t="str">
        <x:v>Tlachiultepec de Ahuayucan (Las Malvinas)</x:v>
      </x:c>
      <x:c r="C2715" t="str">
        <x:v>Hombre</x:v>
      </x:c>
      <x:c r="D2715" t="str">
        <x:v>n) 65 a 69 años</x:v>
      </x:c>
      <x:c r="E2715" s="1" t="n">
        <x:v>3</x:v>
      </x:c>
    </x:row>
    <x:row r="2716">
      <x:c r="A2716" t="str">
        <x:v>XOCHIMILCO</x:v>
      </x:c>
      <x:c r="B2716" t="str">
        <x:v>Tlachiultepec de Ahuayucan (Las Malvinas)</x:v>
      </x:c>
      <x:c r="C2716" t="str">
        <x:v>Hombre</x:v>
      </x:c>
      <x:c r="D2716" t="str">
        <x:v>o) 70 a 74 años</x:v>
      </x:c>
      <x:c r="E2716" s="1" t="n">
        <x:v>1</x:v>
      </x:c>
    </x:row>
    <x:row r="2717">
      <x:c r="A2717" t="str">
        <x:v>XOCHIMILCO</x:v>
      </x:c>
      <x:c r="B2717" t="str">
        <x:v>Tlachiultepec de Ahuayucan (Las Malvinas)</x:v>
      </x:c>
      <x:c r="C2717" t="str">
        <x:v>Hombre</x:v>
      </x:c>
      <x:c r="D2717" t="str">
        <x:v>p) 75 a 79 años</x:v>
      </x:c>
      <x:c r="E2717" s="1" t="n">
        <x:v>3</x:v>
      </x:c>
    </x:row>
    <x:row r="2718">
      <x:c r="A2718" t="str">
        <x:v>XOCHIMILCO</x:v>
      </x:c>
      <x:c r="B2718" t="str">
        <x:v>Tlachiultepec de Ahuayucan (Las Malvinas)</x:v>
      </x:c>
      <x:c r="C2718" t="str">
        <x:v>Hombre</x:v>
      </x:c>
      <x:c r="D2718" t="str">
        <x:v>q) 80 a 84 años</x:v>
      </x:c>
      <x:c r="E2718" s="1" t="n">
        <x:v>0</x:v>
      </x:c>
    </x:row>
    <x:row r="2719">
      <x:c r="A2719" t="str">
        <x:v>XOCHIMILCO</x:v>
      </x:c>
      <x:c r="B2719" t="str">
        <x:v>Tlachiultepec de Ahuayucan (Las Malvinas)</x:v>
      </x:c>
      <x:c r="C2719" t="str">
        <x:v>Hombre</x:v>
      </x:c>
      <x:c r="D2719" t="str">
        <x:v>r) 85 años y más</x:v>
      </x:c>
      <x:c r="E2719" s="1" t="n">
        <x:v>0</x:v>
      </x:c>
    </x:row>
    <x:row r="2720">
      <x:c r="A2720" t="str">
        <x:v>XOCHIMILCO</x:v>
      </x:c>
      <x:c r="B2720" t="str">
        <x:v>Tlachiultepec de Ahuayucan (Las Malvinas)</x:v>
      </x:c>
      <x:c r="C2720" t="str">
        <x:v>Mujer</x:v>
      </x:c>
      <x:c r="D2720" t="str">
        <x:v>a) 0 a 4 años</x:v>
      </x:c>
      <x:c r="E2720" s="1" t="n">
        <x:v>9</x:v>
      </x:c>
    </x:row>
    <x:row r="2721">
      <x:c r="A2721" t="str">
        <x:v>XOCHIMILCO</x:v>
      </x:c>
      <x:c r="B2721" t="str">
        <x:v>Tlachiultepec de Ahuayucan (Las Malvinas)</x:v>
      </x:c>
      <x:c r="C2721" t="str">
        <x:v>Mujer</x:v>
      </x:c>
      <x:c r="D2721" t="str">
        <x:v>b) 5 a 9 años</x:v>
      </x:c>
      <x:c r="E2721" s="1" t="n">
        <x:v>14</x:v>
      </x:c>
    </x:row>
    <x:row r="2722">
      <x:c r="A2722" t="str">
        <x:v>XOCHIMILCO</x:v>
      </x:c>
      <x:c r="B2722" t="str">
        <x:v>Tlachiultepec de Ahuayucan (Las Malvinas)</x:v>
      </x:c>
      <x:c r="C2722" t="str">
        <x:v>Mujer</x:v>
      </x:c>
      <x:c r="D2722" t="str">
        <x:v>c) 10 a 14 años</x:v>
      </x:c>
      <x:c r="E2722" s="1" t="n">
        <x:v>19</x:v>
      </x:c>
    </x:row>
    <x:row r="2723">
      <x:c r="A2723" t="str">
        <x:v>XOCHIMILCO</x:v>
      </x:c>
      <x:c r="B2723" t="str">
        <x:v>Tlachiultepec de Ahuayucan (Las Malvinas)</x:v>
      </x:c>
      <x:c r="C2723" t="str">
        <x:v>Mujer</x:v>
      </x:c>
      <x:c r="D2723" t="str">
        <x:v>d) 15 a 19 años</x:v>
      </x:c>
      <x:c r="E2723" s="1" t="n">
        <x:v>13</x:v>
      </x:c>
    </x:row>
    <x:row r="2724">
      <x:c r="A2724" t="str">
        <x:v>XOCHIMILCO</x:v>
      </x:c>
      <x:c r="B2724" t="str">
        <x:v>Tlachiultepec de Ahuayucan (Las Malvinas)</x:v>
      </x:c>
      <x:c r="C2724" t="str">
        <x:v>Mujer</x:v>
      </x:c>
      <x:c r="D2724" t="str">
        <x:v>e) 20 a 24 años</x:v>
      </x:c>
      <x:c r="E2724" s="1" t="n">
        <x:v>16</x:v>
      </x:c>
    </x:row>
    <x:row r="2725">
      <x:c r="A2725" t="str">
        <x:v>XOCHIMILCO</x:v>
      </x:c>
      <x:c r="B2725" t="str">
        <x:v>Tlachiultepec de Ahuayucan (Las Malvinas)</x:v>
      </x:c>
      <x:c r="C2725" t="str">
        <x:v>Mujer</x:v>
      </x:c>
      <x:c r="D2725" t="str">
        <x:v>f) 25 a 29 años</x:v>
      </x:c>
      <x:c r="E2725" s="1" t="n">
        <x:v>10</x:v>
      </x:c>
    </x:row>
    <x:row r="2726">
      <x:c r="A2726" t="str">
        <x:v>XOCHIMILCO</x:v>
      </x:c>
      <x:c r="B2726" t="str">
        <x:v>Tlachiultepec de Ahuayucan (Las Malvinas)</x:v>
      </x:c>
      <x:c r="C2726" t="str">
        <x:v>Mujer</x:v>
      </x:c>
      <x:c r="D2726" t="str">
        <x:v>g) 30 a 34 años</x:v>
      </x:c>
      <x:c r="E2726" s="1" t="n">
        <x:v>14</x:v>
      </x:c>
    </x:row>
    <x:row r="2727">
      <x:c r="A2727" t="str">
        <x:v>XOCHIMILCO</x:v>
      </x:c>
      <x:c r="B2727" t="str">
        <x:v>Tlachiultepec de Ahuayucan (Las Malvinas)</x:v>
      </x:c>
      <x:c r="C2727" t="str">
        <x:v>Mujer</x:v>
      </x:c>
      <x:c r="D2727" t="str">
        <x:v>h) 35 a 39 años</x:v>
      </x:c>
      <x:c r="E2727" s="1" t="n">
        <x:v>11</x:v>
      </x:c>
    </x:row>
    <x:row r="2728">
      <x:c r="A2728" t="str">
        <x:v>XOCHIMILCO</x:v>
      </x:c>
      <x:c r="B2728" t="str">
        <x:v>Tlachiultepec de Ahuayucan (Las Malvinas)</x:v>
      </x:c>
      <x:c r="C2728" t="str">
        <x:v>Mujer</x:v>
      </x:c>
      <x:c r="D2728" t="str">
        <x:v>i) 40 a 44 años</x:v>
      </x:c>
      <x:c r="E2728" s="1" t="n">
        <x:v>9</x:v>
      </x:c>
    </x:row>
    <x:row r="2729">
      <x:c r="A2729" t="str">
        <x:v>XOCHIMILCO</x:v>
      </x:c>
      <x:c r="B2729" t="str">
        <x:v>Tlachiultepec de Ahuayucan (Las Malvinas)</x:v>
      </x:c>
      <x:c r="C2729" t="str">
        <x:v>Mujer</x:v>
      </x:c>
      <x:c r="D2729" t="str">
        <x:v>j) 45 a 49 años</x:v>
      </x:c>
      <x:c r="E2729" s="1" t="n">
        <x:v>5</x:v>
      </x:c>
    </x:row>
    <x:row r="2730">
      <x:c r="A2730" t="str">
        <x:v>XOCHIMILCO</x:v>
      </x:c>
      <x:c r="B2730" t="str">
        <x:v>Tlachiultepec de Ahuayucan (Las Malvinas)</x:v>
      </x:c>
      <x:c r="C2730" t="str">
        <x:v>Mujer</x:v>
      </x:c>
      <x:c r="D2730" t="str">
        <x:v>k) 50 a 54 años</x:v>
      </x:c>
      <x:c r="E2730" s="1" t="n">
        <x:v>8</x:v>
      </x:c>
    </x:row>
    <x:row r="2731">
      <x:c r="A2731" t="str">
        <x:v>XOCHIMILCO</x:v>
      </x:c>
      <x:c r="B2731" t="str">
        <x:v>Tlachiultepec de Ahuayucan (Las Malvinas)</x:v>
      </x:c>
      <x:c r="C2731" t="str">
        <x:v>Mujer</x:v>
      </x:c>
      <x:c r="D2731" t="str">
        <x:v>l) 55 a 59 años</x:v>
      </x:c>
      <x:c r="E2731" s="1" t="n">
        <x:v>6</x:v>
      </x:c>
    </x:row>
    <x:row r="2732">
      <x:c r="A2732" t="str">
        <x:v>XOCHIMILCO</x:v>
      </x:c>
      <x:c r="B2732" t="str">
        <x:v>Tlachiultepec de Ahuayucan (Las Malvinas)</x:v>
      </x:c>
      <x:c r="C2732" t="str">
        <x:v>Mujer</x:v>
      </x:c>
      <x:c r="D2732" t="str">
        <x:v>m) 60 a 64 años</x:v>
      </x:c>
      <x:c r="E2732" s="1" t="n">
        <x:v>3</x:v>
      </x:c>
    </x:row>
    <x:row r="2733">
      <x:c r="A2733" t="str">
        <x:v>XOCHIMILCO</x:v>
      </x:c>
      <x:c r="B2733" t="str">
        <x:v>Tlachiultepec de Ahuayucan (Las Malvinas)</x:v>
      </x:c>
      <x:c r="C2733" t="str">
        <x:v>Mujer</x:v>
      </x:c>
      <x:c r="D2733" t="str">
        <x:v>n) 65 a 69 años</x:v>
      </x:c>
      <x:c r="E2733" s="1" t="n">
        <x:v>2</x:v>
      </x:c>
    </x:row>
    <x:row r="2734">
      <x:c r="A2734" t="str">
        <x:v>XOCHIMILCO</x:v>
      </x:c>
      <x:c r="B2734" t="str">
        <x:v>Tlachiultepec de Ahuayucan (Las Malvinas)</x:v>
      </x:c>
      <x:c r="C2734" t="str">
        <x:v>Mujer</x:v>
      </x:c>
      <x:c r="D2734" t="str">
        <x:v>o) 70 a 74 años</x:v>
      </x:c>
      <x:c r="E2734" s="1" t="n">
        <x:v>2</x:v>
      </x:c>
    </x:row>
    <x:row r="2735">
      <x:c r="A2735" t="str">
        <x:v>XOCHIMILCO</x:v>
      </x:c>
      <x:c r="B2735" t="str">
        <x:v>Tlachiultepec de Ahuayucan (Las Malvinas)</x:v>
      </x:c>
      <x:c r="C2735" t="str">
        <x:v>Mujer</x:v>
      </x:c>
      <x:c r="D2735" t="str">
        <x:v>p) 75 a 79 años</x:v>
      </x:c>
      <x:c r="E2735" s="1" t="n">
        <x:v>3</x:v>
      </x:c>
    </x:row>
    <x:row r="2736">
      <x:c r="A2736" t="str">
        <x:v>XOCHIMILCO</x:v>
      </x:c>
      <x:c r="B2736" t="str">
        <x:v>Tlachiultepec de Ahuayucan (Las Malvinas)</x:v>
      </x:c>
      <x:c r="C2736" t="str">
        <x:v>Mujer</x:v>
      </x:c>
      <x:c r="D2736" t="str">
        <x:v>q) 80 a 84 años</x:v>
      </x:c>
      <x:c r="E2736" s="1" t="n">
        <x:v>0</x:v>
      </x:c>
    </x:row>
    <x:row r="2737">
      <x:c r="A2737" t="str">
        <x:v>XOCHIMILCO</x:v>
      </x:c>
      <x:c r="B2737" t="str">
        <x:v>Tlachiultepec de Ahuayucan (Las Malvinas)</x:v>
      </x:c>
      <x:c r="C2737" t="str">
        <x:v>Mujer</x:v>
      </x:c>
      <x:c r="D2737" t="str">
        <x:v>r) 85 años y más</x:v>
      </x:c>
      <x:c r="E2737" s="1" t="n">
        <x:v>0</x:v>
      </x:c>
    </x:row>
    <x:row r="2738">
      <x:c r="A2738" t="str">
        <x:v>XOCHIMILCO</x:v>
      </x:c>
      <x:c r="B2738" t="str">
        <x:v>Tlalatlaco</x:v>
      </x:c>
      <x:c r="C2738" t="str">
        <x:v>Hombre</x:v>
      </x:c>
      <x:c r="D2738" t="str">
        <x:v>a) 0 a 4 años</x:v>
      </x:c>
      <x:c r="E2738" s="1" t="n">
        <x:v>1</x:v>
      </x:c>
    </x:row>
    <x:row r="2739">
      <x:c r="A2739" t="str">
        <x:v>XOCHIMILCO</x:v>
      </x:c>
      <x:c r="B2739" t="str">
        <x:v>Tlalatlaco</x:v>
      </x:c>
      <x:c r="C2739" t="str">
        <x:v>Hombre</x:v>
      </x:c>
      <x:c r="D2739" t="str">
        <x:v>b) 5 a 9 años</x:v>
      </x:c>
      <x:c r="E2739" s="1" t="n">
        <x:v>9</x:v>
      </x:c>
    </x:row>
    <x:row r="2740">
      <x:c r="A2740" t="str">
        <x:v>XOCHIMILCO</x:v>
      </x:c>
      <x:c r="B2740" t="str">
        <x:v>Tlalatlaco</x:v>
      </x:c>
      <x:c r="C2740" t="str">
        <x:v>Hombre</x:v>
      </x:c>
      <x:c r="D2740" t="str">
        <x:v>c) 10 a 14 años</x:v>
      </x:c>
      <x:c r="E2740" s="1" t="n">
        <x:v>6</x:v>
      </x:c>
    </x:row>
    <x:row r="2741">
      <x:c r="A2741" t="str">
        <x:v>XOCHIMILCO</x:v>
      </x:c>
      <x:c r="B2741" t="str">
        <x:v>Tlalatlaco</x:v>
      </x:c>
      <x:c r="C2741" t="str">
        <x:v>Hombre</x:v>
      </x:c>
      <x:c r="D2741" t="str">
        <x:v>d) 15 a 19 años</x:v>
      </x:c>
      <x:c r="E2741" s="1" t="n">
        <x:v>6</x:v>
      </x:c>
    </x:row>
    <x:row r="2742">
      <x:c r="A2742" t="str">
        <x:v>XOCHIMILCO</x:v>
      </x:c>
      <x:c r="B2742" t="str">
        <x:v>Tlalatlaco</x:v>
      </x:c>
      <x:c r="C2742" t="str">
        <x:v>Hombre</x:v>
      </x:c>
      <x:c r="D2742" t="str">
        <x:v>e) 20 a 24 años</x:v>
      </x:c>
      <x:c r="E2742" s="1" t="n">
        <x:v>2</x:v>
      </x:c>
    </x:row>
    <x:row r="2743">
      <x:c r="A2743" t="str">
        <x:v>XOCHIMILCO</x:v>
      </x:c>
      <x:c r="B2743" t="str">
        <x:v>Tlalatlaco</x:v>
      </x:c>
      <x:c r="C2743" t="str">
        <x:v>Hombre</x:v>
      </x:c>
      <x:c r="D2743" t="str">
        <x:v>f) 25 a 29 años</x:v>
      </x:c>
      <x:c r="E2743" s="1" t="n">
        <x:v>5</x:v>
      </x:c>
    </x:row>
    <x:row r="2744">
      <x:c r="A2744" t="str">
        <x:v>XOCHIMILCO</x:v>
      </x:c>
      <x:c r="B2744" t="str">
        <x:v>Tlalatlaco</x:v>
      </x:c>
      <x:c r="C2744" t="str">
        <x:v>Hombre</x:v>
      </x:c>
      <x:c r="D2744" t="str">
        <x:v>g) 30 a 34 años</x:v>
      </x:c>
      <x:c r="E2744" s="1" t="n">
        <x:v>5</x:v>
      </x:c>
    </x:row>
    <x:row r="2745">
      <x:c r="A2745" t="str">
        <x:v>XOCHIMILCO</x:v>
      </x:c>
      <x:c r="B2745" t="str">
        <x:v>Tlalatlaco</x:v>
      </x:c>
      <x:c r="C2745" t="str">
        <x:v>Hombre</x:v>
      </x:c>
      <x:c r="D2745" t="str">
        <x:v>h) 35 a 39 años</x:v>
      </x:c>
      <x:c r="E2745" s="1" t="n">
        <x:v>6</x:v>
      </x:c>
    </x:row>
    <x:row r="2746">
      <x:c r="A2746" t="str">
        <x:v>XOCHIMILCO</x:v>
      </x:c>
      <x:c r="B2746" t="str">
        <x:v>Tlalatlaco</x:v>
      </x:c>
      <x:c r="C2746" t="str">
        <x:v>Hombre</x:v>
      </x:c>
      <x:c r="D2746" t="str">
        <x:v>i) 40 a 44 años</x:v>
      </x:c>
      <x:c r="E2746" s="1" t="n">
        <x:v>7</x:v>
      </x:c>
    </x:row>
    <x:row r="2747">
      <x:c r="A2747" t="str">
        <x:v>XOCHIMILCO</x:v>
      </x:c>
      <x:c r="B2747" t="str">
        <x:v>Tlalatlaco</x:v>
      </x:c>
      <x:c r="C2747" t="str">
        <x:v>Hombre</x:v>
      </x:c>
      <x:c r="D2747" t="str">
        <x:v>j) 45 a 49 años</x:v>
      </x:c>
      <x:c r="E2747" s="1" t="n">
        <x:v>1</x:v>
      </x:c>
    </x:row>
    <x:row r="2748">
      <x:c r="A2748" t="str">
        <x:v>XOCHIMILCO</x:v>
      </x:c>
      <x:c r="B2748" t="str">
        <x:v>Tlalatlaco</x:v>
      </x:c>
      <x:c r="C2748" t="str">
        <x:v>Hombre</x:v>
      </x:c>
      <x:c r="D2748" t="str">
        <x:v>k) 50 a 54 años</x:v>
      </x:c>
      <x:c r="E2748" s="1" t="n">
        <x:v>2</x:v>
      </x:c>
    </x:row>
    <x:row r="2749">
      <x:c r="A2749" t="str">
        <x:v>XOCHIMILCO</x:v>
      </x:c>
      <x:c r="B2749" t="str">
        <x:v>Tlalatlaco</x:v>
      </x:c>
      <x:c r="C2749" t="str">
        <x:v>Hombre</x:v>
      </x:c>
      <x:c r="D2749" t="str">
        <x:v>l) 55 a 59 años</x:v>
      </x:c>
      <x:c r="E2749" s="1" t="n">
        <x:v>3</x:v>
      </x:c>
    </x:row>
    <x:row r="2750">
      <x:c r="A2750" t="str">
        <x:v>XOCHIMILCO</x:v>
      </x:c>
      <x:c r="B2750" t="str">
        <x:v>Tlalatlaco</x:v>
      </x:c>
      <x:c r="C2750" t="str">
        <x:v>Hombre</x:v>
      </x:c>
      <x:c r="D2750" t="str">
        <x:v>m) 60 a 64 años</x:v>
      </x:c>
      <x:c r="E2750" s="1" t="n">
        <x:v>2</x:v>
      </x:c>
    </x:row>
    <x:row r="2751">
      <x:c r="A2751" t="str">
        <x:v>XOCHIMILCO</x:v>
      </x:c>
      <x:c r="B2751" t="str">
        <x:v>Tlalatlaco</x:v>
      </x:c>
      <x:c r="C2751" t="str">
        <x:v>Hombre</x:v>
      </x:c>
      <x:c r="D2751" t="str">
        <x:v>n) 65 a 69 años</x:v>
      </x:c>
      <x:c r="E2751" s="1" t="n">
        <x:v>1</x:v>
      </x:c>
    </x:row>
    <x:row r="2752">
      <x:c r="A2752" t="str">
        <x:v>XOCHIMILCO</x:v>
      </x:c>
      <x:c r="B2752" t="str">
        <x:v>Tlalatlaco</x:v>
      </x:c>
      <x:c r="C2752" t="str">
        <x:v>Hombre</x:v>
      </x:c>
      <x:c r="D2752" t="str">
        <x:v>o) 70 a 74 años</x:v>
      </x:c>
      <x:c r="E2752" s="1" t="n">
        <x:v>0</x:v>
      </x:c>
    </x:row>
    <x:row r="2753">
      <x:c r="A2753" t="str">
        <x:v>XOCHIMILCO</x:v>
      </x:c>
      <x:c r="B2753" t="str">
        <x:v>Tlalatlaco</x:v>
      </x:c>
      <x:c r="C2753" t="str">
        <x:v>Hombre</x:v>
      </x:c>
      <x:c r="D2753" t="str">
        <x:v>p) 75 a 79 años</x:v>
      </x:c>
      <x:c r="E2753" s="1" t="n">
        <x:v>0</x:v>
      </x:c>
    </x:row>
    <x:row r="2754">
      <x:c r="A2754" t="str">
        <x:v>XOCHIMILCO</x:v>
      </x:c>
      <x:c r="B2754" t="str">
        <x:v>Tlalatlaco</x:v>
      </x:c>
      <x:c r="C2754" t="str">
        <x:v>Hombre</x:v>
      </x:c>
      <x:c r="D2754" t="str">
        <x:v>q) 80 a 84 años</x:v>
      </x:c>
      <x:c r="E2754" s="1" t="n">
        <x:v>1</x:v>
      </x:c>
    </x:row>
    <x:row r="2755">
      <x:c r="A2755" t="str">
        <x:v>XOCHIMILCO</x:v>
      </x:c>
      <x:c r="B2755" t="str">
        <x:v>Tlalatlaco</x:v>
      </x:c>
      <x:c r="C2755" t="str">
        <x:v>Hombre</x:v>
      </x:c>
      <x:c r="D2755" t="str">
        <x:v>r) 85 años y más</x:v>
      </x:c>
      <x:c r="E2755" s="1" t="n">
        <x:v>0</x:v>
      </x:c>
    </x:row>
    <x:row r="2756">
      <x:c r="A2756" t="str">
        <x:v>XOCHIMILCO</x:v>
      </x:c>
      <x:c r="B2756" t="str">
        <x:v>Tlalatlaco</x:v>
      </x:c>
      <x:c r="C2756" t="str">
        <x:v>Mujer</x:v>
      </x:c>
      <x:c r="D2756" t="str">
        <x:v>a) 0 a 4 años</x:v>
      </x:c>
      <x:c r="E2756" s="1" t="n">
        <x:v>3</x:v>
      </x:c>
    </x:row>
    <x:row r="2757">
      <x:c r="A2757" t="str">
        <x:v>XOCHIMILCO</x:v>
      </x:c>
      <x:c r="B2757" t="str">
        <x:v>Tlalatlaco</x:v>
      </x:c>
      <x:c r="C2757" t="str">
        <x:v>Mujer</x:v>
      </x:c>
      <x:c r="D2757" t="str">
        <x:v>b) 5 a 9 años</x:v>
      </x:c>
      <x:c r="E2757" s="1" t="n">
        <x:v>4</x:v>
      </x:c>
    </x:row>
    <x:row r="2758">
      <x:c r="A2758" t="str">
        <x:v>XOCHIMILCO</x:v>
      </x:c>
      <x:c r="B2758" t="str">
        <x:v>Tlalatlaco</x:v>
      </x:c>
      <x:c r="C2758" t="str">
        <x:v>Mujer</x:v>
      </x:c>
      <x:c r="D2758" t="str">
        <x:v>c) 10 a 14 años</x:v>
      </x:c>
      <x:c r="E2758" s="1" t="n">
        <x:v>4</x:v>
      </x:c>
    </x:row>
    <x:row r="2759">
      <x:c r="A2759" t="str">
        <x:v>XOCHIMILCO</x:v>
      </x:c>
      <x:c r="B2759" t="str">
        <x:v>Tlalatlaco</x:v>
      </x:c>
      <x:c r="C2759" t="str">
        <x:v>Mujer</x:v>
      </x:c>
      <x:c r="D2759" t="str">
        <x:v>d) 15 a 19 años</x:v>
      </x:c>
      <x:c r="E2759" s="1" t="n">
        <x:v>3</x:v>
      </x:c>
    </x:row>
    <x:row r="2760">
      <x:c r="A2760" t="str">
        <x:v>XOCHIMILCO</x:v>
      </x:c>
      <x:c r="B2760" t="str">
        <x:v>Tlalatlaco</x:v>
      </x:c>
      <x:c r="C2760" t="str">
        <x:v>Mujer</x:v>
      </x:c>
      <x:c r="D2760" t="str">
        <x:v>e) 20 a 24 años</x:v>
      </x:c>
      <x:c r="E2760" s="1" t="n">
        <x:v>3</x:v>
      </x:c>
    </x:row>
    <x:row r="2761">
      <x:c r="A2761" t="str">
        <x:v>XOCHIMILCO</x:v>
      </x:c>
      <x:c r="B2761" t="str">
        <x:v>Tlalatlaco</x:v>
      </x:c>
      <x:c r="C2761" t="str">
        <x:v>Mujer</x:v>
      </x:c>
      <x:c r="D2761" t="str">
        <x:v>f) 25 a 29 años</x:v>
      </x:c>
      <x:c r="E2761" s="1" t="n">
        <x:v>5</x:v>
      </x:c>
    </x:row>
    <x:row r="2762">
      <x:c r="A2762" t="str">
        <x:v>XOCHIMILCO</x:v>
      </x:c>
      <x:c r="B2762" t="str">
        <x:v>Tlalatlaco</x:v>
      </x:c>
      <x:c r="C2762" t="str">
        <x:v>Mujer</x:v>
      </x:c>
      <x:c r="D2762" t="str">
        <x:v>g) 30 a 34 años</x:v>
      </x:c>
      <x:c r="E2762" s="1" t="n">
        <x:v>4</x:v>
      </x:c>
    </x:row>
    <x:row r="2763">
      <x:c r="A2763" t="str">
        <x:v>XOCHIMILCO</x:v>
      </x:c>
      <x:c r="B2763" t="str">
        <x:v>Tlalatlaco</x:v>
      </x:c>
      <x:c r="C2763" t="str">
        <x:v>Mujer</x:v>
      </x:c>
      <x:c r="D2763" t="str">
        <x:v>h) 35 a 39 años</x:v>
      </x:c>
      <x:c r="E2763" s="1" t="n">
        <x:v>9</x:v>
      </x:c>
    </x:row>
    <x:row r="2764">
      <x:c r="A2764" t="str">
        <x:v>XOCHIMILCO</x:v>
      </x:c>
      <x:c r="B2764" t="str">
        <x:v>Tlalatlaco</x:v>
      </x:c>
      <x:c r="C2764" t="str">
        <x:v>Mujer</x:v>
      </x:c>
      <x:c r="D2764" t="str">
        <x:v>i) 40 a 44 años</x:v>
      </x:c>
      <x:c r="E2764" s="1" t="n">
        <x:v>4</x:v>
      </x:c>
    </x:row>
    <x:row r="2765">
      <x:c r="A2765" t="str">
        <x:v>XOCHIMILCO</x:v>
      </x:c>
      <x:c r="B2765" t="str">
        <x:v>Tlalatlaco</x:v>
      </x:c>
      <x:c r="C2765" t="str">
        <x:v>Mujer</x:v>
      </x:c>
      <x:c r="D2765" t="str">
        <x:v>j) 45 a 49 años</x:v>
      </x:c>
      <x:c r="E2765" s="1" t="n">
        <x:v>2</x:v>
      </x:c>
    </x:row>
    <x:row r="2766">
      <x:c r="A2766" t="str">
        <x:v>XOCHIMILCO</x:v>
      </x:c>
      <x:c r="B2766" t="str">
        <x:v>Tlalatlaco</x:v>
      </x:c>
      <x:c r="C2766" t="str">
        <x:v>Mujer</x:v>
      </x:c>
      <x:c r="D2766" t="str">
        <x:v>k) 50 a 54 años</x:v>
      </x:c>
      <x:c r="E2766" s="1" t="n">
        <x:v>2</x:v>
      </x:c>
    </x:row>
    <x:row r="2767">
      <x:c r="A2767" t="str">
        <x:v>XOCHIMILCO</x:v>
      </x:c>
      <x:c r="B2767" t="str">
        <x:v>Tlalatlaco</x:v>
      </x:c>
      <x:c r="C2767" t="str">
        <x:v>Mujer</x:v>
      </x:c>
      <x:c r="D2767" t="str">
        <x:v>l) 55 a 59 años</x:v>
      </x:c>
      <x:c r="E2767" s="1" t="n">
        <x:v>0</x:v>
      </x:c>
    </x:row>
    <x:row r="2768">
      <x:c r="A2768" t="str">
        <x:v>XOCHIMILCO</x:v>
      </x:c>
      <x:c r="B2768" t="str">
        <x:v>Tlalatlaco</x:v>
      </x:c>
      <x:c r="C2768" t="str">
        <x:v>Mujer</x:v>
      </x:c>
      <x:c r="D2768" t="str">
        <x:v>m) 60 a 64 años</x:v>
      </x:c>
      <x:c r="E2768" s="1" t="n">
        <x:v>2</x:v>
      </x:c>
    </x:row>
    <x:row r="2769">
      <x:c r="A2769" t="str">
        <x:v>XOCHIMILCO</x:v>
      </x:c>
      <x:c r="B2769" t="str">
        <x:v>Tlalatlaco</x:v>
      </x:c>
      <x:c r="C2769" t="str">
        <x:v>Mujer</x:v>
      </x:c>
      <x:c r="D2769" t="str">
        <x:v>n) 65 a 69 años</x:v>
      </x:c>
      <x:c r="E2769" s="1" t="n">
        <x:v>3</x:v>
      </x:c>
    </x:row>
    <x:row r="2770">
      <x:c r="A2770" t="str">
        <x:v>XOCHIMILCO</x:v>
      </x:c>
      <x:c r="B2770" t="str">
        <x:v>Tlalatlaco</x:v>
      </x:c>
      <x:c r="C2770" t="str">
        <x:v>Mujer</x:v>
      </x:c>
      <x:c r="D2770" t="str">
        <x:v>o) 70 a 74 años</x:v>
      </x:c>
      <x:c r="E2770" s="1" t="n">
        <x:v>0</x:v>
      </x:c>
    </x:row>
    <x:row r="2771">
      <x:c r="A2771" t="str">
        <x:v>XOCHIMILCO</x:v>
      </x:c>
      <x:c r="B2771" t="str">
        <x:v>Tlalatlaco</x:v>
      </x:c>
      <x:c r="C2771" t="str">
        <x:v>Mujer</x:v>
      </x:c>
      <x:c r="D2771" t="str">
        <x:v>p) 75 a 79 años</x:v>
      </x:c>
      <x:c r="E2771" s="1" t="n">
        <x:v>0</x:v>
      </x:c>
    </x:row>
    <x:row r="2772">
      <x:c r="A2772" t="str">
        <x:v>XOCHIMILCO</x:v>
      </x:c>
      <x:c r="B2772" t="str">
        <x:v>Tlalatlaco</x:v>
      </x:c>
      <x:c r="C2772" t="str">
        <x:v>Mujer</x:v>
      </x:c>
      <x:c r="D2772" t="str">
        <x:v>q) 80 a 84 años</x:v>
      </x:c>
      <x:c r="E2772" s="1" t="n">
        <x:v>0</x:v>
      </x:c>
    </x:row>
    <x:row r="2773">
      <x:c r="A2773" t="str">
        <x:v>XOCHIMILCO</x:v>
      </x:c>
      <x:c r="B2773" t="str">
        <x:v>Tlalatlaco</x:v>
      </x:c>
      <x:c r="C2773" t="str">
        <x:v>Mujer</x:v>
      </x:c>
      <x:c r="D2773" t="str">
        <x:v>r) 85 años y más</x:v>
      </x:c>
      <x:c r="E2773" s="1" t="n">
        <x:v>0</x:v>
      </x:c>
    </x:row>
    <x:row r="2774">
      <x:c r="A2774" t="str">
        <x:v>XOCHIMILCO</x:v>
      </x:c>
      <x:c r="B2774" t="str">
        <x:v>Tlatzala (Cuayuca)</x:v>
      </x:c>
      <x:c r="C2774" t="str">
        <x:v>Hombre</x:v>
      </x:c>
      <x:c r="D2774" t="str">
        <x:v>a) 0 a 4 años</x:v>
      </x:c>
      <x:c r="E2774" s="1" t="n">
        <x:v>8</x:v>
      </x:c>
    </x:row>
    <x:row r="2775">
      <x:c r="A2775" t="str">
        <x:v>XOCHIMILCO</x:v>
      </x:c>
      <x:c r="B2775" t="str">
        <x:v>Tlatzala (Cuayuca)</x:v>
      </x:c>
      <x:c r="C2775" t="str">
        <x:v>Hombre</x:v>
      </x:c>
      <x:c r="D2775" t="str">
        <x:v>b) 5 a 9 años</x:v>
      </x:c>
      <x:c r="E2775" s="1" t="n">
        <x:v>11</x:v>
      </x:c>
    </x:row>
    <x:row r="2776">
      <x:c r="A2776" t="str">
        <x:v>XOCHIMILCO</x:v>
      </x:c>
      <x:c r="B2776" t="str">
        <x:v>Tlatzala (Cuayuca)</x:v>
      </x:c>
      <x:c r="C2776" t="str">
        <x:v>Hombre</x:v>
      </x:c>
      <x:c r="D2776" t="str">
        <x:v>c) 10 a 14 años</x:v>
      </x:c>
      <x:c r="E2776" s="1" t="n">
        <x:v>5</x:v>
      </x:c>
    </x:row>
    <x:row r="2777">
      <x:c r="A2777" t="str">
        <x:v>XOCHIMILCO</x:v>
      </x:c>
      <x:c r="B2777" t="str">
        <x:v>Tlatzala (Cuayuca)</x:v>
      </x:c>
      <x:c r="C2777" t="str">
        <x:v>Hombre</x:v>
      </x:c>
      <x:c r="D2777" t="str">
        <x:v>d) 15 a 19 años</x:v>
      </x:c>
      <x:c r="E2777" s="1" t="n">
        <x:v>11</x:v>
      </x:c>
    </x:row>
    <x:row r="2778">
      <x:c r="A2778" t="str">
        <x:v>XOCHIMILCO</x:v>
      </x:c>
      <x:c r="B2778" t="str">
        <x:v>Tlatzala (Cuayuca)</x:v>
      </x:c>
      <x:c r="C2778" t="str">
        <x:v>Hombre</x:v>
      </x:c>
      <x:c r="D2778" t="str">
        <x:v>e) 20 a 24 años</x:v>
      </x:c>
      <x:c r="E2778" s="1" t="n">
        <x:v>13</x:v>
      </x:c>
    </x:row>
    <x:row r="2779">
      <x:c r="A2779" t="str">
        <x:v>XOCHIMILCO</x:v>
      </x:c>
      <x:c r="B2779" t="str">
        <x:v>Tlatzala (Cuayuca)</x:v>
      </x:c>
      <x:c r="C2779" t="str">
        <x:v>Hombre</x:v>
      </x:c>
      <x:c r="D2779" t="str">
        <x:v>f) 25 a 29 años</x:v>
      </x:c>
      <x:c r="E2779" s="1" t="n">
        <x:v>11</x:v>
      </x:c>
    </x:row>
    <x:row r="2780">
      <x:c r="A2780" t="str">
        <x:v>XOCHIMILCO</x:v>
      </x:c>
      <x:c r="B2780" t="str">
        <x:v>Tlatzala (Cuayuca)</x:v>
      </x:c>
      <x:c r="C2780" t="str">
        <x:v>Hombre</x:v>
      </x:c>
      <x:c r="D2780" t="str">
        <x:v>g) 30 a 34 años</x:v>
      </x:c>
      <x:c r="E2780" s="1" t="n">
        <x:v>9</x:v>
      </x:c>
    </x:row>
    <x:row r="2781">
      <x:c r="A2781" t="str">
        <x:v>XOCHIMILCO</x:v>
      </x:c>
      <x:c r="B2781" t="str">
        <x:v>Tlatzala (Cuayuca)</x:v>
      </x:c>
      <x:c r="C2781" t="str">
        <x:v>Hombre</x:v>
      </x:c>
      <x:c r="D2781" t="str">
        <x:v>h) 35 a 39 años</x:v>
      </x:c>
      <x:c r="E2781" s="1" t="n">
        <x:v>6</x:v>
      </x:c>
    </x:row>
    <x:row r="2782">
      <x:c r="A2782" t="str">
        <x:v>XOCHIMILCO</x:v>
      </x:c>
      <x:c r="B2782" t="str">
        <x:v>Tlatzala (Cuayuca)</x:v>
      </x:c>
      <x:c r="C2782" t="str">
        <x:v>Hombre</x:v>
      </x:c>
      <x:c r="D2782" t="str">
        <x:v>i) 40 a 44 años</x:v>
      </x:c>
      <x:c r="E2782" s="1" t="n">
        <x:v>6</x:v>
      </x:c>
    </x:row>
    <x:row r="2783">
      <x:c r="A2783" t="str">
        <x:v>XOCHIMILCO</x:v>
      </x:c>
      <x:c r="B2783" t="str">
        <x:v>Tlatzala (Cuayuca)</x:v>
      </x:c>
      <x:c r="C2783" t="str">
        <x:v>Hombre</x:v>
      </x:c>
      <x:c r="D2783" t="str">
        <x:v>j) 45 a 49 años</x:v>
      </x:c>
      <x:c r="E2783" s="1" t="n">
        <x:v>5</x:v>
      </x:c>
    </x:row>
    <x:row r="2784">
      <x:c r="A2784" t="str">
        <x:v>XOCHIMILCO</x:v>
      </x:c>
      <x:c r="B2784" t="str">
        <x:v>Tlatzala (Cuayuca)</x:v>
      </x:c>
      <x:c r="C2784" t="str">
        <x:v>Hombre</x:v>
      </x:c>
      <x:c r="D2784" t="str">
        <x:v>k) 50 a 54 años</x:v>
      </x:c>
      <x:c r="E2784" s="1" t="n">
        <x:v>5</x:v>
      </x:c>
    </x:row>
    <x:row r="2785">
      <x:c r="A2785" t="str">
        <x:v>XOCHIMILCO</x:v>
      </x:c>
      <x:c r="B2785" t="str">
        <x:v>Tlatzala (Cuayuca)</x:v>
      </x:c>
      <x:c r="C2785" t="str">
        <x:v>Hombre</x:v>
      </x:c>
      <x:c r="D2785" t="str">
        <x:v>l) 55 a 59 años</x:v>
      </x:c>
      <x:c r="E2785" s="1" t="n">
        <x:v>5</x:v>
      </x:c>
    </x:row>
    <x:row r="2786">
      <x:c r="A2786" t="str">
        <x:v>XOCHIMILCO</x:v>
      </x:c>
      <x:c r="B2786" t="str">
        <x:v>Tlatzala (Cuayuca)</x:v>
      </x:c>
      <x:c r="C2786" t="str">
        <x:v>Hombre</x:v>
      </x:c>
      <x:c r="D2786" t="str">
        <x:v>m) 60 a 64 años</x:v>
      </x:c>
      <x:c r="E2786" s="1" t="n">
        <x:v>4</x:v>
      </x:c>
    </x:row>
    <x:row r="2787">
      <x:c r="A2787" t="str">
        <x:v>XOCHIMILCO</x:v>
      </x:c>
      <x:c r="B2787" t="str">
        <x:v>Tlatzala (Cuayuca)</x:v>
      </x:c>
      <x:c r="C2787" t="str">
        <x:v>Hombre</x:v>
      </x:c>
      <x:c r="D2787" t="str">
        <x:v>n) 65 a 69 años</x:v>
      </x:c>
      <x:c r="E2787" s="1" t="n">
        <x:v>2</x:v>
      </x:c>
    </x:row>
    <x:row r="2788">
      <x:c r="A2788" t="str">
        <x:v>XOCHIMILCO</x:v>
      </x:c>
      <x:c r="B2788" t="str">
        <x:v>Tlatzala (Cuayuca)</x:v>
      </x:c>
      <x:c r="C2788" t="str">
        <x:v>Hombre</x:v>
      </x:c>
      <x:c r="D2788" t="str">
        <x:v>o) 70 a 74 años</x:v>
      </x:c>
      <x:c r="E2788" s="1" t="n">
        <x:v>3</x:v>
      </x:c>
    </x:row>
    <x:row r="2789">
      <x:c r="A2789" t="str">
        <x:v>XOCHIMILCO</x:v>
      </x:c>
      <x:c r="B2789" t="str">
        <x:v>Tlatzala (Cuayuca)</x:v>
      </x:c>
      <x:c r="C2789" t="str">
        <x:v>Hombre</x:v>
      </x:c>
      <x:c r="D2789" t="str">
        <x:v>p) 75 a 79 años</x:v>
      </x:c>
      <x:c r="E2789" s="1" t="n">
        <x:v>0</x:v>
      </x:c>
    </x:row>
    <x:row r="2790">
      <x:c r="A2790" t="str">
        <x:v>XOCHIMILCO</x:v>
      </x:c>
      <x:c r="B2790" t="str">
        <x:v>Tlatzala (Cuayuca)</x:v>
      </x:c>
      <x:c r="C2790" t="str">
        <x:v>Hombre</x:v>
      </x:c>
      <x:c r="D2790" t="str">
        <x:v>q) 80 a 84 años</x:v>
      </x:c>
      <x:c r="E2790" s="1" t="n">
        <x:v>1</x:v>
      </x:c>
    </x:row>
    <x:row r="2791">
      <x:c r="A2791" t="str">
        <x:v>XOCHIMILCO</x:v>
      </x:c>
      <x:c r="B2791" t="str">
        <x:v>Tlatzala (Cuayuca)</x:v>
      </x:c>
      <x:c r="C2791" t="str">
        <x:v>Hombre</x:v>
      </x:c>
      <x:c r="D2791" t="str">
        <x:v>r) 85 años y más</x:v>
      </x:c>
      <x:c r="E2791" s="1" t="n">
        <x:v>0</x:v>
      </x:c>
    </x:row>
    <x:row r="2792">
      <x:c r="A2792" t="str">
        <x:v>XOCHIMILCO</x:v>
      </x:c>
      <x:c r="B2792" t="str">
        <x:v>Tlatzala (Cuayuca)</x:v>
      </x:c>
      <x:c r="C2792" t="str">
        <x:v>Mujer</x:v>
      </x:c>
      <x:c r="D2792" t="str">
        <x:v>a) 0 a 4 años</x:v>
      </x:c>
      <x:c r="E2792" s="1" t="n">
        <x:v>11</x:v>
      </x:c>
    </x:row>
    <x:row r="2793">
      <x:c r="A2793" t="str">
        <x:v>XOCHIMILCO</x:v>
      </x:c>
      <x:c r="B2793" t="str">
        <x:v>Tlatzala (Cuayuca)</x:v>
      </x:c>
      <x:c r="C2793" t="str">
        <x:v>Mujer</x:v>
      </x:c>
      <x:c r="D2793" t="str">
        <x:v>b) 5 a 9 años</x:v>
      </x:c>
      <x:c r="E2793" s="1" t="n">
        <x:v>7</x:v>
      </x:c>
    </x:row>
    <x:row r="2794">
      <x:c r="A2794" t="str">
        <x:v>XOCHIMILCO</x:v>
      </x:c>
      <x:c r="B2794" t="str">
        <x:v>Tlatzala (Cuayuca)</x:v>
      </x:c>
      <x:c r="C2794" t="str">
        <x:v>Mujer</x:v>
      </x:c>
      <x:c r="D2794" t="str">
        <x:v>c) 10 a 14 años</x:v>
      </x:c>
      <x:c r="E2794" s="1" t="n">
        <x:v>9</x:v>
      </x:c>
    </x:row>
    <x:row r="2795">
      <x:c r="A2795" t="str">
        <x:v>XOCHIMILCO</x:v>
      </x:c>
      <x:c r="B2795" t="str">
        <x:v>Tlatzala (Cuayuca)</x:v>
      </x:c>
      <x:c r="C2795" t="str">
        <x:v>Mujer</x:v>
      </x:c>
      <x:c r="D2795" t="str">
        <x:v>d) 15 a 19 años</x:v>
      </x:c>
      <x:c r="E2795" s="1" t="n">
        <x:v>10</x:v>
      </x:c>
    </x:row>
    <x:row r="2796">
      <x:c r="A2796" t="str">
        <x:v>XOCHIMILCO</x:v>
      </x:c>
      <x:c r="B2796" t="str">
        <x:v>Tlatzala (Cuayuca)</x:v>
      </x:c>
      <x:c r="C2796" t="str">
        <x:v>Mujer</x:v>
      </x:c>
      <x:c r="D2796" t="str">
        <x:v>e) 20 a 24 años</x:v>
      </x:c>
      <x:c r="E2796" s="1" t="n">
        <x:v>11</x:v>
      </x:c>
    </x:row>
    <x:row r="2797">
      <x:c r="A2797" t="str">
        <x:v>XOCHIMILCO</x:v>
      </x:c>
      <x:c r="B2797" t="str">
        <x:v>Tlatzala (Cuayuca)</x:v>
      </x:c>
      <x:c r="C2797" t="str">
        <x:v>Mujer</x:v>
      </x:c>
      <x:c r="D2797" t="str">
        <x:v>f) 25 a 29 años</x:v>
      </x:c>
      <x:c r="E2797" s="1" t="n">
        <x:v>7</x:v>
      </x:c>
    </x:row>
    <x:row r="2798">
      <x:c r="A2798" t="str">
        <x:v>XOCHIMILCO</x:v>
      </x:c>
      <x:c r="B2798" t="str">
        <x:v>Tlatzala (Cuayuca)</x:v>
      </x:c>
      <x:c r="C2798" t="str">
        <x:v>Mujer</x:v>
      </x:c>
      <x:c r="D2798" t="str">
        <x:v>g) 30 a 34 años</x:v>
      </x:c>
      <x:c r="E2798" s="1" t="n">
        <x:v>5</x:v>
      </x:c>
    </x:row>
    <x:row r="2799">
      <x:c r="A2799" t="str">
        <x:v>XOCHIMILCO</x:v>
      </x:c>
      <x:c r="B2799" t="str">
        <x:v>Tlatzala (Cuayuca)</x:v>
      </x:c>
      <x:c r="C2799" t="str">
        <x:v>Mujer</x:v>
      </x:c>
      <x:c r="D2799" t="str">
        <x:v>h) 35 a 39 años</x:v>
      </x:c>
      <x:c r="E2799" s="1" t="n">
        <x:v>5</x:v>
      </x:c>
    </x:row>
    <x:row r="2800">
      <x:c r="A2800" t="str">
        <x:v>XOCHIMILCO</x:v>
      </x:c>
      <x:c r="B2800" t="str">
        <x:v>Tlatzala (Cuayuca)</x:v>
      </x:c>
      <x:c r="C2800" t="str">
        <x:v>Mujer</x:v>
      </x:c>
      <x:c r="D2800" t="str">
        <x:v>i) 40 a 44 años</x:v>
      </x:c>
      <x:c r="E2800" s="1" t="n">
        <x:v>10</x:v>
      </x:c>
    </x:row>
    <x:row r="2801">
      <x:c r="A2801" t="str">
        <x:v>XOCHIMILCO</x:v>
      </x:c>
      <x:c r="B2801" t="str">
        <x:v>Tlatzala (Cuayuca)</x:v>
      </x:c>
      <x:c r="C2801" t="str">
        <x:v>Mujer</x:v>
      </x:c>
      <x:c r="D2801" t="str">
        <x:v>j) 45 a 49 años</x:v>
      </x:c>
      <x:c r="E2801" s="1" t="n">
        <x:v>6</x:v>
      </x:c>
    </x:row>
    <x:row r="2802">
      <x:c r="A2802" t="str">
        <x:v>XOCHIMILCO</x:v>
      </x:c>
      <x:c r="B2802" t="str">
        <x:v>Tlatzala (Cuayuca)</x:v>
      </x:c>
      <x:c r="C2802" t="str">
        <x:v>Mujer</x:v>
      </x:c>
      <x:c r="D2802" t="str">
        <x:v>k) 50 a 54 años</x:v>
      </x:c>
      <x:c r="E2802" s="1" t="n">
        <x:v>5</x:v>
      </x:c>
    </x:row>
    <x:row r="2803">
      <x:c r="A2803" t="str">
        <x:v>XOCHIMILCO</x:v>
      </x:c>
      <x:c r="B2803" t="str">
        <x:v>Tlatzala (Cuayuca)</x:v>
      </x:c>
      <x:c r="C2803" t="str">
        <x:v>Mujer</x:v>
      </x:c>
      <x:c r="D2803" t="str">
        <x:v>l) 55 a 59 años</x:v>
      </x:c>
      <x:c r="E2803" s="1" t="n">
        <x:v>7</x:v>
      </x:c>
    </x:row>
    <x:row r="2804">
      <x:c r="A2804" t="str">
        <x:v>XOCHIMILCO</x:v>
      </x:c>
      <x:c r="B2804" t="str">
        <x:v>Tlatzala (Cuayuca)</x:v>
      </x:c>
      <x:c r="C2804" t="str">
        <x:v>Mujer</x:v>
      </x:c>
      <x:c r="D2804" t="str">
        <x:v>m) 60 a 64 años</x:v>
      </x:c>
      <x:c r="E2804" s="1" t="n">
        <x:v>3</x:v>
      </x:c>
    </x:row>
    <x:row r="2805">
      <x:c r="A2805" t="str">
        <x:v>XOCHIMILCO</x:v>
      </x:c>
      <x:c r="B2805" t="str">
        <x:v>Tlatzala (Cuayuca)</x:v>
      </x:c>
      <x:c r="C2805" t="str">
        <x:v>Mujer</x:v>
      </x:c>
      <x:c r="D2805" t="str">
        <x:v>n) 65 a 69 años</x:v>
      </x:c>
      <x:c r="E2805" s="1" t="n">
        <x:v>3</x:v>
      </x:c>
    </x:row>
    <x:row r="2806">
      <x:c r="A2806" t="str">
        <x:v>XOCHIMILCO</x:v>
      </x:c>
      <x:c r="B2806" t="str">
        <x:v>Tlatzala (Cuayuca)</x:v>
      </x:c>
      <x:c r="C2806" t="str">
        <x:v>Mujer</x:v>
      </x:c>
      <x:c r="D2806" t="str">
        <x:v>o) 70 a 74 años</x:v>
      </x:c>
      <x:c r="E2806" s="1" t="n">
        <x:v>0</x:v>
      </x:c>
    </x:row>
    <x:row r="2807">
      <x:c r="A2807" t="str">
        <x:v>XOCHIMILCO</x:v>
      </x:c>
      <x:c r="B2807" t="str">
        <x:v>Tlatzala (Cuayuca)</x:v>
      </x:c>
      <x:c r="C2807" t="str">
        <x:v>Mujer</x:v>
      </x:c>
      <x:c r="D2807" t="str">
        <x:v>p) 75 a 79 años</x:v>
      </x:c>
      <x:c r="E2807" s="1" t="n">
        <x:v>2</x:v>
      </x:c>
    </x:row>
    <x:row r="2808">
      <x:c r="A2808" t="str">
        <x:v>XOCHIMILCO</x:v>
      </x:c>
      <x:c r="B2808" t="str">
        <x:v>Tlatzala (Cuayuca)</x:v>
      </x:c>
      <x:c r="C2808" t="str">
        <x:v>Mujer</x:v>
      </x:c>
      <x:c r="D2808" t="str">
        <x:v>q) 80 a 84 años</x:v>
      </x:c>
      <x:c r="E2808" s="1" t="n">
        <x:v>0</x:v>
      </x:c>
    </x:row>
    <x:row r="2809">
      <x:c r="A2809" t="str">
        <x:v>XOCHIMILCO</x:v>
      </x:c>
      <x:c r="B2809" t="str">
        <x:v>Tlatzala (Cuayuca)</x:v>
      </x:c>
      <x:c r="C2809" t="str">
        <x:v>Mujer</x:v>
      </x:c>
      <x:c r="D2809" t="str">
        <x:v>r) 85 años y más</x:v>
      </x:c>
      <x:c r="E2809" s="1" t="n">
        <x:v>1</x:v>
      </x:c>
    </x:row>
    <x:row r="2810">
      <x:c r="A2810" t="str">
        <x:v>XOCHIMILCO</x:v>
      </x:c>
      <x:c r="B2810" t="str">
        <x:v>Tipipili</x:v>
      </x:c>
      <x:c r="C2810" t="str">
        <x:v>Hombre</x:v>
      </x:c>
      <x:c r="D2810" t="str">
        <x:v>a) 0 a 4 años</x:v>
      </x:c>
      <x:c r="E2810" s="1" t="n">
        <x:v>34</x:v>
      </x:c>
    </x:row>
    <x:row r="2811">
      <x:c r="A2811" t="str">
        <x:v>XOCHIMILCO</x:v>
      </x:c>
      <x:c r="B2811" t="str">
        <x:v>Tipipili</x:v>
      </x:c>
      <x:c r="C2811" t="str">
        <x:v>Hombre</x:v>
      </x:c>
      <x:c r="D2811" t="str">
        <x:v>b) 5 a 9 años</x:v>
      </x:c>
      <x:c r="E2811" s="1" t="n">
        <x:v>30</x:v>
      </x:c>
    </x:row>
    <x:row r="2812">
      <x:c r="A2812" t="str">
        <x:v>XOCHIMILCO</x:v>
      </x:c>
      <x:c r="B2812" t="str">
        <x:v>Tipipili</x:v>
      </x:c>
      <x:c r="C2812" t="str">
        <x:v>Hombre</x:v>
      </x:c>
      <x:c r="D2812" t="str">
        <x:v>c) 10 a 14 años</x:v>
      </x:c>
      <x:c r="E2812" s="1" t="n">
        <x:v>32</x:v>
      </x:c>
    </x:row>
    <x:row r="2813">
      <x:c r="A2813" t="str">
        <x:v>XOCHIMILCO</x:v>
      </x:c>
      <x:c r="B2813" t="str">
        <x:v>Tipipili</x:v>
      </x:c>
      <x:c r="C2813" t="str">
        <x:v>Hombre</x:v>
      </x:c>
      <x:c r="D2813" t="str">
        <x:v>d) 15 a 19 años</x:v>
      </x:c>
      <x:c r="E2813" s="1" t="n">
        <x:v>41</x:v>
      </x:c>
    </x:row>
    <x:row r="2814">
      <x:c r="A2814" t="str">
        <x:v>XOCHIMILCO</x:v>
      </x:c>
      <x:c r="B2814" t="str">
        <x:v>Tipipili</x:v>
      </x:c>
      <x:c r="C2814" t="str">
        <x:v>Hombre</x:v>
      </x:c>
      <x:c r="D2814" t="str">
        <x:v>e) 20 a 24 años</x:v>
      </x:c>
      <x:c r="E2814" s="1" t="n">
        <x:v>36</x:v>
      </x:c>
    </x:row>
    <x:row r="2815">
      <x:c r="A2815" t="str">
        <x:v>XOCHIMILCO</x:v>
      </x:c>
      <x:c r="B2815" t="str">
        <x:v>Tipipili</x:v>
      </x:c>
      <x:c r="C2815" t="str">
        <x:v>Hombre</x:v>
      </x:c>
      <x:c r="D2815" t="str">
        <x:v>f) 25 a 29 años</x:v>
      </x:c>
      <x:c r="E2815" s="1" t="n">
        <x:v>40</x:v>
      </x:c>
    </x:row>
    <x:row r="2816">
      <x:c r="A2816" t="str">
        <x:v>XOCHIMILCO</x:v>
      </x:c>
      <x:c r="B2816" t="str">
        <x:v>Tipipili</x:v>
      </x:c>
      <x:c r="C2816" t="str">
        <x:v>Hombre</x:v>
      </x:c>
      <x:c r="D2816" t="str">
        <x:v>g) 30 a 34 años</x:v>
      </x:c>
      <x:c r="E2816" s="1" t="n">
        <x:v>25</x:v>
      </x:c>
    </x:row>
    <x:row r="2817">
      <x:c r="A2817" t="str">
        <x:v>XOCHIMILCO</x:v>
      </x:c>
      <x:c r="B2817" t="str">
        <x:v>Tipipili</x:v>
      </x:c>
      <x:c r="C2817" t="str">
        <x:v>Hombre</x:v>
      </x:c>
      <x:c r="D2817" t="str">
        <x:v>h) 35 a 39 años</x:v>
      </x:c>
      <x:c r="E2817" s="1" t="n">
        <x:v>23</x:v>
      </x:c>
    </x:row>
    <x:row r="2818">
      <x:c r="A2818" t="str">
        <x:v>XOCHIMILCO</x:v>
      </x:c>
      <x:c r="B2818" t="str">
        <x:v>Tipipili</x:v>
      </x:c>
      <x:c r="C2818" t="str">
        <x:v>Hombre</x:v>
      </x:c>
      <x:c r="D2818" t="str">
        <x:v>i) 40 a 44 años</x:v>
      </x:c>
      <x:c r="E2818" s="1" t="n">
        <x:v>18</x:v>
      </x:c>
    </x:row>
    <x:row r="2819">
      <x:c r="A2819" t="str">
        <x:v>XOCHIMILCO</x:v>
      </x:c>
      <x:c r="B2819" t="str">
        <x:v>Tipipili</x:v>
      </x:c>
      <x:c r="C2819" t="str">
        <x:v>Hombre</x:v>
      </x:c>
      <x:c r="D2819" t="str">
        <x:v>j) 45 a 49 años</x:v>
      </x:c>
      <x:c r="E2819" s="1" t="n">
        <x:v>22</x:v>
      </x:c>
    </x:row>
    <x:row r="2820">
      <x:c r="A2820" t="str">
        <x:v>XOCHIMILCO</x:v>
      </x:c>
      <x:c r="B2820" t="str">
        <x:v>Tipipili</x:v>
      </x:c>
      <x:c r="C2820" t="str">
        <x:v>Hombre</x:v>
      </x:c>
      <x:c r="D2820" t="str">
        <x:v>k) 50 a 54 años</x:v>
      </x:c>
      <x:c r="E2820" s="1" t="n">
        <x:v>15</x:v>
      </x:c>
    </x:row>
    <x:row r="2821">
      <x:c r="A2821" t="str">
        <x:v>XOCHIMILCO</x:v>
      </x:c>
      <x:c r="B2821" t="str">
        <x:v>Tipipili</x:v>
      </x:c>
      <x:c r="C2821" t="str">
        <x:v>Hombre</x:v>
      </x:c>
      <x:c r="D2821" t="str">
        <x:v>l) 55 a 59 años</x:v>
      </x:c>
      <x:c r="E2821" s="1" t="n">
        <x:v>14</x:v>
      </x:c>
    </x:row>
    <x:row r="2822">
      <x:c r="A2822" t="str">
        <x:v>XOCHIMILCO</x:v>
      </x:c>
      <x:c r="B2822" t="str">
        <x:v>Tipipili</x:v>
      </x:c>
      <x:c r="C2822" t="str">
        <x:v>Hombre</x:v>
      </x:c>
      <x:c r="D2822" t="str">
        <x:v>m) 60 a 64 años</x:v>
      </x:c>
      <x:c r="E2822" s="1" t="n">
        <x:v>9</x:v>
      </x:c>
    </x:row>
    <x:row r="2823">
      <x:c r="A2823" t="str">
        <x:v>XOCHIMILCO</x:v>
      </x:c>
      <x:c r="B2823" t="str">
        <x:v>Tipipili</x:v>
      </x:c>
      <x:c r="C2823" t="str">
        <x:v>Hombre</x:v>
      </x:c>
      <x:c r="D2823" t="str">
        <x:v>n) 65 a 69 años</x:v>
      </x:c>
      <x:c r="E2823" s="1" t="n">
        <x:v>7</x:v>
      </x:c>
    </x:row>
    <x:row r="2824">
      <x:c r="A2824" t="str">
        <x:v>XOCHIMILCO</x:v>
      </x:c>
      <x:c r="B2824" t="str">
        <x:v>Tipipili</x:v>
      </x:c>
      <x:c r="C2824" t="str">
        <x:v>Hombre</x:v>
      </x:c>
      <x:c r="D2824" t="str">
        <x:v>o) 70 a 74 años</x:v>
      </x:c>
      <x:c r="E2824" s="1" t="n">
        <x:v>2</x:v>
      </x:c>
    </x:row>
    <x:row r="2825">
      <x:c r="A2825" t="str">
        <x:v>XOCHIMILCO</x:v>
      </x:c>
      <x:c r="B2825" t="str">
        <x:v>Tipipili</x:v>
      </x:c>
      <x:c r="C2825" t="str">
        <x:v>Hombre</x:v>
      </x:c>
      <x:c r="D2825" t="str">
        <x:v>p) 75 a 79 años</x:v>
      </x:c>
      <x:c r="E2825" s="1" t="n">
        <x:v>5</x:v>
      </x:c>
    </x:row>
    <x:row r="2826">
      <x:c r="A2826" t="str">
        <x:v>XOCHIMILCO</x:v>
      </x:c>
      <x:c r="B2826" t="str">
        <x:v>Tipipili</x:v>
      </x:c>
      <x:c r="C2826" t="str">
        <x:v>Hombre</x:v>
      </x:c>
      <x:c r="D2826" t="str">
        <x:v>q) 80 a 84 años</x:v>
      </x:c>
      <x:c r="E2826" s="1" t="n">
        <x:v>2</x:v>
      </x:c>
    </x:row>
    <x:row r="2827">
      <x:c r="A2827" t="str">
        <x:v>XOCHIMILCO</x:v>
      </x:c>
      <x:c r="B2827" t="str">
        <x:v>Tipipili</x:v>
      </x:c>
      <x:c r="C2827" t="str">
        <x:v>Hombre</x:v>
      </x:c>
      <x:c r="D2827" t="str">
        <x:v>r) 85 años y más</x:v>
      </x:c>
      <x:c r="E2827" s="1" t="n">
        <x:v>0</x:v>
      </x:c>
    </x:row>
    <x:row r="2828">
      <x:c r="A2828" t="str">
        <x:v>XOCHIMILCO</x:v>
      </x:c>
      <x:c r="B2828" t="str">
        <x:v>Tipipili</x:v>
      </x:c>
      <x:c r="C2828" t="str">
        <x:v>Mujer</x:v>
      </x:c>
      <x:c r="D2828" t="str">
        <x:v>a) 0 a 4 años</x:v>
      </x:c>
      <x:c r="E2828" s="1" t="n">
        <x:v>32</x:v>
      </x:c>
    </x:row>
    <x:row r="2829">
      <x:c r="A2829" t="str">
        <x:v>XOCHIMILCO</x:v>
      </x:c>
      <x:c r="B2829" t="str">
        <x:v>Tipipili</x:v>
      </x:c>
      <x:c r="C2829" t="str">
        <x:v>Mujer</x:v>
      </x:c>
      <x:c r="D2829" t="str">
        <x:v>b) 5 a 9 años</x:v>
      </x:c>
      <x:c r="E2829" s="1" t="n">
        <x:v>35</x:v>
      </x:c>
    </x:row>
    <x:row r="2830">
      <x:c r="A2830" t="str">
        <x:v>XOCHIMILCO</x:v>
      </x:c>
      <x:c r="B2830" t="str">
        <x:v>Tipipili</x:v>
      </x:c>
      <x:c r="C2830" t="str">
        <x:v>Mujer</x:v>
      </x:c>
      <x:c r="D2830" t="str">
        <x:v>c) 10 a 14 años</x:v>
      </x:c>
      <x:c r="E2830" s="1" t="n">
        <x:v>33</x:v>
      </x:c>
    </x:row>
    <x:row r="2831">
      <x:c r="A2831" t="str">
        <x:v>XOCHIMILCO</x:v>
      </x:c>
      <x:c r="B2831" t="str">
        <x:v>Tipipili</x:v>
      </x:c>
      <x:c r="C2831" t="str">
        <x:v>Mujer</x:v>
      </x:c>
      <x:c r="D2831" t="str">
        <x:v>d) 15 a 19 años</x:v>
      </x:c>
      <x:c r="E2831" s="1" t="n">
        <x:v>36</x:v>
      </x:c>
    </x:row>
    <x:row r="2832">
      <x:c r="A2832" t="str">
        <x:v>XOCHIMILCO</x:v>
      </x:c>
      <x:c r="B2832" t="str">
        <x:v>Tipipili</x:v>
      </x:c>
      <x:c r="C2832" t="str">
        <x:v>Mujer</x:v>
      </x:c>
      <x:c r="D2832" t="str">
        <x:v>e) 20 a 24 años</x:v>
      </x:c>
      <x:c r="E2832" s="1" t="n">
        <x:v>37</x:v>
      </x:c>
    </x:row>
    <x:row r="2833">
      <x:c r="A2833" t="str">
        <x:v>XOCHIMILCO</x:v>
      </x:c>
      <x:c r="B2833" t="str">
        <x:v>Tipipili</x:v>
      </x:c>
      <x:c r="C2833" t="str">
        <x:v>Mujer</x:v>
      </x:c>
      <x:c r="D2833" t="str">
        <x:v>f) 25 a 29 años</x:v>
      </x:c>
      <x:c r="E2833" s="1" t="n">
        <x:v>24</x:v>
      </x:c>
    </x:row>
    <x:row r="2834">
      <x:c r="A2834" t="str">
        <x:v>XOCHIMILCO</x:v>
      </x:c>
      <x:c r="B2834" t="str">
        <x:v>Tipipili</x:v>
      </x:c>
      <x:c r="C2834" t="str">
        <x:v>Mujer</x:v>
      </x:c>
      <x:c r="D2834" t="str">
        <x:v>g) 30 a 34 años</x:v>
      </x:c>
      <x:c r="E2834" s="1" t="n">
        <x:v>27</x:v>
      </x:c>
    </x:row>
    <x:row r="2835">
      <x:c r="A2835" t="str">
        <x:v>XOCHIMILCO</x:v>
      </x:c>
      <x:c r="B2835" t="str">
        <x:v>Tipipili</x:v>
      </x:c>
      <x:c r="C2835" t="str">
        <x:v>Mujer</x:v>
      </x:c>
      <x:c r="D2835" t="str">
        <x:v>h) 35 a 39 años</x:v>
      </x:c>
      <x:c r="E2835" s="1" t="n">
        <x:v>30</x:v>
      </x:c>
    </x:row>
    <x:row r="2836">
      <x:c r="A2836" t="str">
        <x:v>XOCHIMILCO</x:v>
      </x:c>
      <x:c r="B2836" t="str">
        <x:v>Tipipili</x:v>
      </x:c>
      <x:c r="C2836" t="str">
        <x:v>Mujer</x:v>
      </x:c>
      <x:c r="D2836" t="str">
        <x:v>i) 40 a 44 años</x:v>
      </x:c>
      <x:c r="E2836" s="1" t="n">
        <x:v>22</x:v>
      </x:c>
    </x:row>
    <x:row r="2837">
      <x:c r="A2837" t="str">
        <x:v>XOCHIMILCO</x:v>
      </x:c>
      <x:c r="B2837" t="str">
        <x:v>Tipipili</x:v>
      </x:c>
      <x:c r="C2837" t="str">
        <x:v>Mujer</x:v>
      </x:c>
      <x:c r="D2837" t="str">
        <x:v>j) 45 a 49 años</x:v>
      </x:c>
      <x:c r="E2837" s="1" t="n">
        <x:v>19</x:v>
      </x:c>
    </x:row>
    <x:row r="2838">
      <x:c r="A2838" t="str">
        <x:v>XOCHIMILCO</x:v>
      </x:c>
      <x:c r="B2838" t="str">
        <x:v>Tipipili</x:v>
      </x:c>
      <x:c r="C2838" t="str">
        <x:v>Mujer</x:v>
      </x:c>
      <x:c r="D2838" t="str">
        <x:v>k) 50 a 54 años</x:v>
      </x:c>
      <x:c r="E2838" s="1" t="n">
        <x:v>21</x:v>
      </x:c>
    </x:row>
    <x:row r="2839">
      <x:c r="A2839" t="str">
        <x:v>XOCHIMILCO</x:v>
      </x:c>
      <x:c r="B2839" t="str">
        <x:v>Tipipili</x:v>
      </x:c>
      <x:c r="C2839" t="str">
        <x:v>Mujer</x:v>
      </x:c>
      <x:c r="D2839" t="str">
        <x:v>l) 55 a 59 años</x:v>
      </x:c>
      <x:c r="E2839" s="1" t="n">
        <x:v>12</x:v>
      </x:c>
    </x:row>
    <x:row r="2840">
      <x:c r="A2840" t="str">
        <x:v>XOCHIMILCO</x:v>
      </x:c>
      <x:c r="B2840" t="str">
        <x:v>Tipipili</x:v>
      </x:c>
      <x:c r="C2840" t="str">
        <x:v>Mujer</x:v>
      </x:c>
      <x:c r="D2840" t="str">
        <x:v>m) 60 a 64 años</x:v>
      </x:c>
      <x:c r="E2840" s="1" t="n">
        <x:v>12</x:v>
      </x:c>
    </x:row>
    <x:row r="2841">
      <x:c r="A2841" t="str">
        <x:v>XOCHIMILCO</x:v>
      </x:c>
      <x:c r="B2841" t="str">
        <x:v>Tipipili</x:v>
      </x:c>
      <x:c r="C2841" t="str">
        <x:v>Mujer</x:v>
      </x:c>
      <x:c r="D2841" t="str">
        <x:v>n) 65 a 69 años</x:v>
      </x:c>
      <x:c r="E2841" s="1" t="n">
        <x:v>9</x:v>
      </x:c>
    </x:row>
    <x:row r="2842">
      <x:c r="A2842" t="str">
        <x:v>XOCHIMILCO</x:v>
      </x:c>
      <x:c r="B2842" t="str">
        <x:v>Tipipili</x:v>
      </x:c>
      <x:c r="C2842" t="str">
        <x:v>Mujer</x:v>
      </x:c>
      <x:c r="D2842" t="str">
        <x:v>o) 70 a 74 años</x:v>
      </x:c>
      <x:c r="E2842" s="1" t="n">
        <x:v>2</x:v>
      </x:c>
    </x:row>
    <x:row r="2843">
      <x:c r="A2843" t="str">
        <x:v>XOCHIMILCO</x:v>
      </x:c>
      <x:c r="B2843" t="str">
        <x:v>Tipipili</x:v>
      </x:c>
      <x:c r="C2843" t="str">
        <x:v>Mujer</x:v>
      </x:c>
      <x:c r="D2843" t="str">
        <x:v>p) 75 a 79 años</x:v>
      </x:c>
      <x:c r="E2843" s="1" t="n">
        <x:v>1</x:v>
      </x:c>
    </x:row>
    <x:row r="2844">
      <x:c r="A2844" t="str">
        <x:v>XOCHIMILCO</x:v>
      </x:c>
      <x:c r="B2844" t="str">
        <x:v>Tipipili</x:v>
      </x:c>
      <x:c r="C2844" t="str">
        <x:v>Mujer</x:v>
      </x:c>
      <x:c r="D2844" t="str">
        <x:v>q) 80 a 84 años</x:v>
      </x:c>
      <x:c r="E2844" s="1" t="n">
        <x:v>1</x:v>
      </x:c>
    </x:row>
    <x:row r="2845">
      <x:c r="A2845" t="str">
        <x:v>XOCHIMILCO</x:v>
      </x:c>
      <x:c r="B2845" t="str">
        <x:v>Tipipili</x:v>
      </x:c>
      <x:c r="C2845" t="str">
        <x:v>Mujer</x:v>
      </x:c>
      <x:c r="D2845" t="str">
        <x:v>r) 85 años y más</x:v>
      </x:c>
      <x:c r="E2845" s="1" t="n">
        <x:v>1</x:v>
      </x:c>
    </x:row>
    <x:row r="2846">
      <x:c r="A2846" t="str">
        <x:v>XOCHIMILCO</x:v>
      </x:c>
      <x:c r="B2846" t="str">
        <x:v>Tochuca (San Salvador)</x:v>
      </x:c>
      <x:c r="C2846" t="str">
        <x:v>Hombre</x:v>
      </x:c>
      <x:c r="D2846" t="str">
        <x:v>a) 0 a 4 años</x:v>
      </x:c>
      <x:c r="E2846" s="1" t="n">
        <x:v>9</x:v>
      </x:c>
    </x:row>
    <x:row r="2847">
      <x:c r="A2847" t="str">
        <x:v>XOCHIMILCO</x:v>
      </x:c>
      <x:c r="B2847" t="str">
        <x:v>Tochuca (San Salvador)</x:v>
      </x:c>
      <x:c r="C2847" t="str">
        <x:v>Hombre</x:v>
      </x:c>
      <x:c r="D2847" t="str">
        <x:v>b) 5 a 9 años</x:v>
      </x:c>
      <x:c r="E2847" s="1" t="n">
        <x:v>14</x:v>
      </x:c>
    </x:row>
    <x:row r="2848">
      <x:c r="A2848" t="str">
        <x:v>XOCHIMILCO</x:v>
      </x:c>
      <x:c r="B2848" t="str">
        <x:v>Tochuca (San Salvador)</x:v>
      </x:c>
      <x:c r="C2848" t="str">
        <x:v>Hombre</x:v>
      </x:c>
      <x:c r="D2848" t="str">
        <x:v>c) 10 a 14 años</x:v>
      </x:c>
      <x:c r="E2848" s="1" t="n">
        <x:v>22</x:v>
      </x:c>
    </x:row>
    <x:row r="2849">
      <x:c r="A2849" t="str">
        <x:v>XOCHIMILCO</x:v>
      </x:c>
      <x:c r="B2849" t="str">
        <x:v>Tochuca (San Salvador)</x:v>
      </x:c>
      <x:c r="C2849" t="str">
        <x:v>Hombre</x:v>
      </x:c>
      <x:c r="D2849" t="str">
        <x:v>d) 15 a 19 años</x:v>
      </x:c>
      <x:c r="E2849" s="1" t="n">
        <x:v>22</x:v>
      </x:c>
    </x:row>
    <x:row r="2850">
      <x:c r="A2850" t="str">
        <x:v>XOCHIMILCO</x:v>
      </x:c>
      <x:c r="B2850" t="str">
        <x:v>Tochuca (San Salvador)</x:v>
      </x:c>
      <x:c r="C2850" t="str">
        <x:v>Hombre</x:v>
      </x:c>
      <x:c r="D2850" t="str">
        <x:v>e) 20 a 24 años</x:v>
      </x:c>
      <x:c r="E2850" s="1" t="n">
        <x:v>25</x:v>
      </x:c>
    </x:row>
    <x:row r="2851">
      <x:c r="A2851" t="str">
        <x:v>XOCHIMILCO</x:v>
      </x:c>
      <x:c r="B2851" t="str">
        <x:v>Tochuca (San Salvador)</x:v>
      </x:c>
      <x:c r="C2851" t="str">
        <x:v>Hombre</x:v>
      </x:c>
      <x:c r="D2851" t="str">
        <x:v>f) 25 a 29 años</x:v>
      </x:c>
      <x:c r="E2851" s="1" t="n">
        <x:v>27</x:v>
      </x:c>
    </x:row>
    <x:row r="2852">
      <x:c r="A2852" t="str">
        <x:v>XOCHIMILCO</x:v>
      </x:c>
      <x:c r="B2852" t="str">
        <x:v>Tochuca (San Salvador)</x:v>
      </x:c>
      <x:c r="C2852" t="str">
        <x:v>Hombre</x:v>
      </x:c>
      <x:c r="D2852" t="str">
        <x:v>g) 30 a 34 años</x:v>
      </x:c>
      <x:c r="E2852" s="1" t="n">
        <x:v>8</x:v>
      </x:c>
    </x:row>
    <x:row r="2853">
      <x:c r="A2853" t="str">
        <x:v>XOCHIMILCO</x:v>
      </x:c>
      <x:c r="B2853" t="str">
        <x:v>Tochuca (San Salvador)</x:v>
      </x:c>
      <x:c r="C2853" t="str">
        <x:v>Hombre</x:v>
      </x:c>
      <x:c r="D2853" t="str">
        <x:v>h) 35 a 39 años</x:v>
      </x:c>
      <x:c r="E2853" s="1" t="n">
        <x:v>10</x:v>
      </x:c>
    </x:row>
    <x:row r="2854">
      <x:c r="A2854" t="str">
        <x:v>XOCHIMILCO</x:v>
      </x:c>
      <x:c r="B2854" t="str">
        <x:v>Tochuca (San Salvador)</x:v>
      </x:c>
      <x:c r="C2854" t="str">
        <x:v>Hombre</x:v>
      </x:c>
      <x:c r="D2854" t="str">
        <x:v>i) 40 a 44 años</x:v>
      </x:c>
      <x:c r="E2854" s="1" t="n">
        <x:v>11</x:v>
      </x:c>
    </x:row>
    <x:row r="2855">
      <x:c r="A2855" t="str">
        <x:v>XOCHIMILCO</x:v>
      </x:c>
      <x:c r="B2855" t="str">
        <x:v>Tochuca (San Salvador)</x:v>
      </x:c>
      <x:c r="C2855" t="str">
        <x:v>Hombre</x:v>
      </x:c>
      <x:c r="D2855" t="str">
        <x:v>j) 45 a 49 años</x:v>
      </x:c>
      <x:c r="E2855" s="1" t="n">
        <x:v>15</x:v>
      </x:c>
    </x:row>
    <x:row r="2856">
      <x:c r="A2856" t="str">
        <x:v>XOCHIMILCO</x:v>
      </x:c>
      <x:c r="B2856" t="str">
        <x:v>Tochuca (San Salvador)</x:v>
      </x:c>
      <x:c r="C2856" t="str">
        <x:v>Hombre</x:v>
      </x:c>
      <x:c r="D2856" t="str">
        <x:v>k) 50 a 54 años</x:v>
      </x:c>
      <x:c r="E2856" s="1" t="n">
        <x:v>12</x:v>
      </x:c>
    </x:row>
    <x:row r="2857">
      <x:c r="A2857" t="str">
        <x:v>XOCHIMILCO</x:v>
      </x:c>
      <x:c r="B2857" t="str">
        <x:v>Tochuca (San Salvador)</x:v>
      </x:c>
      <x:c r="C2857" t="str">
        <x:v>Hombre</x:v>
      </x:c>
      <x:c r="D2857" t="str">
        <x:v>l) 55 a 59 años</x:v>
      </x:c>
      <x:c r="E2857" s="1" t="n">
        <x:v>11</x:v>
      </x:c>
    </x:row>
    <x:row r="2858">
      <x:c r="A2858" t="str">
        <x:v>XOCHIMILCO</x:v>
      </x:c>
      <x:c r="B2858" t="str">
        <x:v>Tochuca (San Salvador)</x:v>
      </x:c>
      <x:c r="C2858" t="str">
        <x:v>Hombre</x:v>
      </x:c>
      <x:c r="D2858" t="str">
        <x:v>m) 60 a 64 años</x:v>
      </x:c>
      <x:c r="E2858" s="1" t="n">
        <x:v>4</x:v>
      </x:c>
    </x:row>
    <x:row r="2859">
      <x:c r="A2859" t="str">
        <x:v>XOCHIMILCO</x:v>
      </x:c>
      <x:c r="B2859" t="str">
        <x:v>Tochuca (San Salvador)</x:v>
      </x:c>
      <x:c r="C2859" t="str">
        <x:v>Hombre</x:v>
      </x:c>
      <x:c r="D2859" t="str">
        <x:v>n) 65 a 69 años</x:v>
      </x:c>
      <x:c r="E2859" s="1" t="n">
        <x:v>4</x:v>
      </x:c>
    </x:row>
    <x:row r="2860">
      <x:c r="A2860" t="str">
        <x:v>XOCHIMILCO</x:v>
      </x:c>
      <x:c r="B2860" t="str">
        <x:v>Tochuca (San Salvador)</x:v>
      </x:c>
      <x:c r="C2860" t="str">
        <x:v>Hombre</x:v>
      </x:c>
      <x:c r="D2860" t="str">
        <x:v>o) 70 a 74 años</x:v>
      </x:c>
      <x:c r="E2860" s="1" t="n">
        <x:v>1</x:v>
      </x:c>
    </x:row>
    <x:row r="2861">
      <x:c r="A2861" t="str">
        <x:v>XOCHIMILCO</x:v>
      </x:c>
      <x:c r="B2861" t="str">
        <x:v>Tochuca (San Salvador)</x:v>
      </x:c>
      <x:c r="C2861" t="str">
        <x:v>Hombre</x:v>
      </x:c>
      <x:c r="D2861" t="str">
        <x:v>p) 75 a 79 años</x:v>
      </x:c>
      <x:c r="E2861" s="1" t="n">
        <x:v>4</x:v>
      </x:c>
    </x:row>
    <x:row r="2862">
      <x:c r="A2862" t="str">
        <x:v>XOCHIMILCO</x:v>
      </x:c>
      <x:c r="B2862" t="str">
        <x:v>Tochuca (San Salvador)</x:v>
      </x:c>
      <x:c r="C2862" t="str">
        <x:v>Hombre</x:v>
      </x:c>
      <x:c r="D2862" t="str">
        <x:v>q) 80 a 84 años</x:v>
      </x:c>
      <x:c r="E2862" s="1" t="n">
        <x:v>1</x:v>
      </x:c>
    </x:row>
    <x:row r="2863">
      <x:c r="A2863" t="str">
        <x:v>XOCHIMILCO</x:v>
      </x:c>
      <x:c r="B2863" t="str">
        <x:v>Tochuca (San Salvador)</x:v>
      </x:c>
      <x:c r="C2863" t="str">
        <x:v>Hombre</x:v>
      </x:c>
      <x:c r="D2863" t="str">
        <x:v>r) 85 años y más</x:v>
      </x:c>
      <x:c r="E2863" s="1" t="n">
        <x:v>1</x:v>
      </x:c>
    </x:row>
    <x:row r="2864">
      <x:c r="A2864" t="str">
        <x:v>XOCHIMILCO</x:v>
      </x:c>
      <x:c r="B2864" t="str">
        <x:v>Tochuca (San Salvador)</x:v>
      </x:c>
      <x:c r="C2864" t="str">
        <x:v>Mujer</x:v>
      </x:c>
      <x:c r="D2864" t="str">
        <x:v>a) 0 a 4 años</x:v>
      </x:c>
      <x:c r="E2864" s="1" t="n">
        <x:v>6</x:v>
      </x:c>
    </x:row>
    <x:row r="2865">
      <x:c r="A2865" t="str">
        <x:v>XOCHIMILCO</x:v>
      </x:c>
      <x:c r="B2865" t="str">
        <x:v>Tochuca (San Salvador)</x:v>
      </x:c>
      <x:c r="C2865" t="str">
        <x:v>Mujer</x:v>
      </x:c>
      <x:c r="D2865" t="str">
        <x:v>b) 5 a 9 años</x:v>
      </x:c>
      <x:c r="E2865" s="1" t="n">
        <x:v>10</x:v>
      </x:c>
    </x:row>
    <x:row r="2866">
      <x:c r="A2866" t="str">
        <x:v>XOCHIMILCO</x:v>
      </x:c>
      <x:c r="B2866" t="str">
        <x:v>Tochuca (San Salvador)</x:v>
      </x:c>
      <x:c r="C2866" t="str">
        <x:v>Mujer</x:v>
      </x:c>
      <x:c r="D2866" t="str">
        <x:v>c) 10 a 14 años</x:v>
      </x:c>
      <x:c r="E2866" s="1" t="n">
        <x:v>10</x:v>
      </x:c>
    </x:row>
    <x:row r="2867">
      <x:c r="A2867" t="str">
        <x:v>XOCHIMILCO</x:v>
      </x:c>
      <x:c r="B2867" t="str">
        <x:v>Tochuca (San Salvador)</x:v>
      </x:c>
      <x:c r="C2867" t="str">
        <x:v>Mujer</x:v>
      </x:c>
      <x:c r="D2867" t="str">
        <x:v>d) 15 a 19 años</x:v>
      </x:c>
      <x:c r="E2867" s="1" t="n">
        <x:v>16</x:v>
      </x:c>
    </x:row>
    <x:row r="2868">
      <x:c r="A2868" t="str">
        <x:v>XOCHIMILCO</x:v>
      </x:c>
      <x:c r="B2868" t="str">
        <x:v>Tochuca (San Salvador)</x:v>
      </x:c>
      <x:c r="C2868" t="str">
        <x:v>Mujer</x:v>
      </x:c>
      <x:c r="D2868" t="str">
        <x:v>e) 20 a 24 años</x:v>
      </x:c>
      <x:c r="E2868" s="1" t="n">
        <x:v>13</x:v>
      </x:c>
    </x:row>
    <x:row r="2869">
      <x:c r="A2869" t="str">
        <x:v>XOCHIMILCO</x:v>
      </x:c>
      <x:c r="B2869" t="str">
        <x:v>Tochuca (San Salvador)</x:v>
      </x:c>
      <x:c r="C2869" t="str">
        <x:v>Mujer</x:v>
      </x:c>
      <x:c r="D2869" t="str">
        <x:v>f) 25 a 29 años</x:v>
      </x:c>
      <x:c r="E2869" s="1" t="n">
        <x:v>15</x:v>
      </x:c>
    </x:row>
    <x:row r="2870">
      <x:c r="A2870" t="str">
        <x:v>XOCHIMILCO</x:v>
      </x:c>
      <x:c r="B2870" t="str">
        <x:v>Tochuca (San Salvador)</x:v>
      </x:c>
      <x:c r="C2870" t="str">
        <x:v>Mujer</x:v>
      </x:c>
      <x:c r="D2870" t="str">
        <x:v>g) 30 a 34 años</x:v>
      </x:c>
      <x:c r="E2870" s="1" t="n">
        <x:v>19</x:v>
      </x:c>
    </x:row>
    <x:row r="2871">
      <x:c r="A2871" t="str">
        <x:v>XOCHIMILCO</x:v>
      </x:c>
      <x:c r="B2871" t="str">
        <x:v>Tochuca (San Salvador)</x:v>
      </x:c>
      <x:c r="C2871" t="str">
        <x:v>Mujer</x:v>
      </x:c>
      <x:c r="D2871" t="str">
        <x:v>h) 35 a 39 años</x:v>
      </x:c>
      <x:c r="E2871" s="1" t="n">
        <x:v>9</x:v>
      </x:c>
    </x:row>
    <x:row r="2872">
      <x:c r="A2872" t="str">
        <x:v>XOCHIMILCO</x:v>
      </x:c>
      <x:c r="B2872" t="str">
        <x:v>Tochuca (San Salvador)</x:v>
      </x:c>
      <x:c r="C2872" t="str">
        <x:v>Mujer</x:v>
      </x:c>
      <x:c r="D2872" t="str">
        <x:v>i) 40 a 44 años</x:v>
      </x:c>
      <x:c r="E2872" s="1" t="n">
        <x:v>15</x:v>
      </x:c>
    </x:row>
    <x:row r="2873">
      <x:c r="A2873" t="str">
        <x:v>XOCHIMILCO</x:v>
      </x:c>
      <x:c r="B2873" t="str">
        <x:v>Tochuca (San Salvador)</x:v>
      </x:c>
      <x:c r="C2873" t="str">
        <x:v>Mujer</x:v>
      </x:c>
      <x:c r="D2873" t="str">
        <x:v>j) 45 a 49 años</x:v>
      </x:c>
      <x:c r="E2873" s="1" t="n">
        <x:v>17</x:v>
      </x:c>
    </x:row>
    <x:row r="2874">
      <x:c r="A2874" t="str">
        <x:v>XOCHIMILCO</x:v>
      </x:c>
      <x:c r="B2874" t="str">
        <x:v>Tochuca (San Salvador)</x:v>
      </x:c>
      <x:c r="C2874" t="str">
        <x:v>Mujer</x:v>
      </x:c>
      <x:c r="D2874" t="str">
        <x:v>k) 50 a 54 años</x:v>
      </x:c>
      <x:c r="E2874" s="1" t="n">
        <x:v>19</x:v>
      </x:c>
    </x:row>
    <x:row r="2875">
      <x:c r="A2875" t="str">
        <x:v>XOCHIMILCO</x:v>
      </x:c>
      <x:c r="B2875" t="str">
        <x:v>Tochuca (San Salvador)</x:v>
      </x:c>
      <x:c r="C2875" t="str">
        <x:v>Mujer</x:v>
      </x:c>
      <x:c r="D2875" t="str">
        <x:v>l) 55 a 59 años</x:v>
      </x:c>
      <x:c r="E2875" s="1" t="n">
        <x:v>8</x:v>
      </x:c>
    </x:row>
    <x:row r="2876">
      <x:c r="A2876" t="str">
        <x:v>XOCHIMILCO</x:v>
      </x:c>
      <x:c r="B2876" t="str">
        <x:v>Tochuca (San Salvador)</x:v>
      </x:c>
      <x:c r="C2876" t="str">
        <x:v>Mujer</x:v>
      </x:c>
      <x:c r="D2876" t="str">
        <x:v>m) 60 a 64 años</x:v>
      </x:c>
      <x:c r="E2876" s="1" t="n">
        <x:v>1</x:v>
      </x:c>
    </x:row>
    <x:row r="2877">
      <x:c r="A2877" t="str">
        <x:v>XOCHIMILCO</x:v>
      </x:c>
      <x:c r="B2877" t="str">
        <x:v>Tochuca (San Salvador)</x:v>
      </x:c>
      <x:c r="C2877" t="str">
        <x:v>Mujer</x:v>
      </x:c>
      <x:c r="D2877" t="str">
        <x:v>n) 65 a 69 años</x:v>
      </x:c>
      <x:c r="E2877" s="1" t="n">
        <x:v>3</x:v>
      </x:c>
    </x:row>
    <x:row r="2878">
      <x:c r="A2878" t="str">
        <x:v>XOCHIMILCO</x:v>
      </x:c>
      <x:c r="B2878" t="str">
        <x:v>Tochuca (San Salvador)</x:v>
      </x:c>
      <x:c r="C2878" t="str">
        <x:v>Mujer</x:v>
      </x:c>
      <x:c r="D2878" t="str">
        <x:v>o) 70 a 74 años</x:v>
      </x:c>
      <x:c r="E2878" s="1" t="n">
        <x:v>1</x:v>
      </x:c>
    </x:row>
    <x:row r="2879">
      <x:c r="A2879" t="str">
        <x:v>XOCHIMILCO</x:v>
      </x:c>
      <x:c r="B2879" t="str">
        <x:v>Tochuca (San Salvador)</x:v>
      </x:c>
      <x:c r="C2879" t="str">
        <x:v>Mujer</x:v>
      </x:c>
      <x:c r="D2879" t="str">
        <x:v>p) 75 a 79 años</x:v>
      </x:c>
      <x:c r="E2879" s="1" t="n">
        <x:v>5</x:v>
      </x:c>
    </x:row>
    <x:row r="2880">
      <x:c r="A2880" t="str">
        <x:v>XOCHIMILCO</x:v>
      </x:c>
      <x:c r="B2880" t="str">
        <x:v>Tochuca (San Salvador)</x:v>
      </x:c>
      <x:c r="C2880" t="str">
        <x:v>Mujer</x:v>
      </x:c>
      <x:c r="D2880" t="str">
        <x:v>q) 80 a 84 años</x:v>
      </x:c>
      <x:c r="E2880" s="1" t="n">
        <x:v>0</x:v>
      </x:c>
    </x:row>
    <x:row r="2881">
      <x:c r="A2881" t="str">
        <x:v>XOCHIMILCO</x:v>
      </x:c>
      <x:c r="B2881" t="str">
        <x:v>Tochuca (San Salvador)</x:v>
      </x:c>
      <x:c r="C2881" t="str">
        <x:v>Mujer</x:v>
      </x:c>
      <x:c r="D2881" t="str">
        <x:v>r) 85 años y más</x:v>
      </x:c>
      <x:c r="E2881" s="1" t="n">
        <x:v>2</x:v>
      </x:c>
    </x:row>
    <x:row r="2882">
      <x:c r="A2882" t="str">
        <x:v>XOCHIMILCO</x:v>
      </x:c>
      <x:c r="B2882" t="str">
        <x:v>Pepelaxtla</x:v>
      </x:c>
      <x:c r="C2882" t="str">
        <x:v>Hombre</x:v>
      </x:c>
      <x:c r="D2882" t="str">
        <x:v>a) 0 a 4 años</x:v>
      </x:c>
      <x:c r="E2882" s="1" t="n">
        <x:v>16</x:v>
      </x:c>
    </x:row>
    <x:row r="2883">
      <x:c r="A2883" t="str">
        <x:v>XOCHIMILCO</x:v>
      </x:c>
      <x:c r="B2883" t="str">
        <x:v>Pepelaxtla</x:v>
      </x:c>
      <x:c r="C2883" t="str">
        <x:v>Hombre</x:v>
      </x:c>
      <x:c r="D2883" t="str">
        <x:v>b) 5 a 9 años</x:v>
      </x:c>
      <x:c r="E2883" s="1" t="n">
        <x:v>15</x:v>
      </x:c>
    </x:row>
    <x:row r="2884">
      <x:c r="A2884" t="str">
        <x:v>XOCHIMILCO</x:v>
      </x:c>
      <x:c r="B2884" t="str">
        <x:v>Pepelaxtla</x:v>
      </x:c>
      <x:c r="C2884" t="str">
        <x:v>Hombre</x:v>
      </x:c>
      <x:c r="D2884" t="str">
        <x:v>c) 10 a 14 años</x:v>
      </x:c>
      <x:c r="E2884" s="1" t="n">
        <x:v>16</x:v>
      </x:c>
    </x:row>
    <x:row r="2885">
      <x:c r="A2885" t="str">
        <x:v>XOCHIMILCO</x:v>
      </x:c>
      <x:c r="B2885" t="str">
        <x:v>Pepelaxtla</x:v>
      </x:c>
      <x:c r="C2885" t="str">
        <x:v>Hombre</x:v>
      </x:c>
      <x:c r="D2885" t="str">
        <x:v>d) 15 a 19 años</x:v>
      </x:c>
      <x:c r="E2885" s="1" t="n">
        <x:v>15</x:v>
      </x:c>
    </x:row>
    <x:row r="2886">
      <x:c r="A2886" t="str">
        <x:v>XOCHIMILCO</x:v>
      </x:c>
      <x:c r="B2886" t="str">
        <x:v>Pepelaxtla</x:v>
      </x:c>
      <x:c r="C2886" t="str">
        <x:v>Hombre</x:v>
      </x:c>
      <x:c r="D2886" t="str">
        <x:v>e) 20 a 24 años</x:v>
      </x:c>
      <x:c r="E2886" s="1" t="n">
        <x:v>17</x:v>
      </x:c>
    </x:row>
    <x:row r="2887">
      <x:c r="A2887" t="str">
        <x:v>XOCHIMILCO</x:v>
      </x:c>
      <x:c r="B2887" t="str">
        <x:v>Pepelaxtla</x:v>
      </x:c>
      <x:c r="C2887" t="str">
        <x:v>Hombre</x:v>
      </x:c>
      <x:c r="D2887" t="str">
        <x:v>f) 25 a 29 años</x:v>
      </x:c>
      <x:c r="E2887" s="1" t="n">
        <x:v>18</x:v>
      </x:c>
    </x:row>
    <x:row r="2888">
      <x:c r="A2888" t="str">
        <x:v>XOCHIMILCO</x:v>
      </x:c>
      <x:c r="B2888" t="str">
        <x:v>Pepelaxtla</x:v>
      </x:c>
      <x:c r="C2888" t="str">
        <x:v>Hombre</x:v>
      </x:c>
      <x:c r="D2888" t="str">
        <x:v>g) 30 a 34 años</x:v>
      </x:c>
      <x:c r="E2888" s="1" t="n">
        <x:v>13</x:v>
      </x:c>
    </x:row>
    <x:row r="2889">
      <x:c r="A2889" t="str">
        <x:v>XOCHIMILCO</x:v>
      </x:c>
      <x:c r="B2889" t="str">
        <x:v>Pepelaxtla</x:v>
      </x:c>
      <x:c r="C2889" t="str">
        <x:v>Hombre</x:v>
      </x:c>
      <x:c r="D2889" t="str">
        <x:v>h) 35 a 39 años</x:v>
      </x:c>
      <x:c r="E2889" s="1" t="n">
        <x:v>12</x:v>
      </x:c>
    </x:row>
    <x:row r="2890">
      <x:c r="A2890" t="str">
        <x:v>XOCHIMILCO</x:v>
      </x:c>
      <x:c r="B2890" t="str">
        <x:v>Pepelaxtla</x:v>
      </x:c>
      <x:c r="C2890" t="str">
        <x:v>Hombre</x:v>
      </x:c>
      <x:c r="D2890" t="str">
        <x:v>i) 40 a 44 años</x:v>
      </x:c>
      <x:c r="E2890" s="1" t="n">
        <x:v>10</x:v>
      </x:c>
    </x:row>
    <x:row r="2891">
      <x:c r="A2891" t="str">
        <x:v>XOCHIMILCO</x:v>
      </x:c>
      <x:c r="B2891" t="str">
        <x:v>Pepelaxtla</x:v>
      </x:c>
      <x:c r="C2891" t="str">
        <x:v>Hombre</x:v>
      </x:c>
      <x:c r="D2891" t="str">
        <x:v>j) 45 a 49 años</x:v>
      </x:c>
      <x:c r="E2891" s="1" t="n">
        <x:v>12</x:v>
      </x:c>
    </x:row>
    <x:row r="2892">
      <x:c r="A2892" t="str">
        <x:v>XOCHIMILCO</x:v>
      </x:c>
      <x:c r="B2892" t="str">
        <x:v>Pepelaxtla</x:v>
      </x:c>
      <x:c r="C2892" t="str">
        <x:v>Hombre</x:v>
      </x:c>
      <x:c r="D2892" t="str">
        <x:v>k) 50 a 54 años</x:v>
      </x:c>
      <x:c r="E2892" s="1" t="n">
        <x:v>12</x:v>
      </x:c>
    </x:row>
    <x:row r="2893">
      <x:c r="A2893" t="str">
        <x:v>XOCHIMILCO</x:v>
      </x:c>
      <x:c r="B2893" t="str">
        <x:v>Pepelaxtla</x:v>
      </x:c>
      <x:c r="C2893" t="str">
        <x:v>Hombre</x:v>
      </x:c>
      <x:c r="D2893" t="str">
        <x:v>l) 55 a 59 años</x:v>
      </x:c>
      <x:c r="E2893" s="1" t="n">
        <x:v>9</x:v>
      </x:c>
    </x:row>
    <x:row r="2894">
      <x:c r="A2894" t="str">
        <x:v>XOCHIMILCO</x:v>
      </x:c>
      <x:c r="B2894" t="str">
        <x:v>Pepelaxtla</x:v>
      </x:c>
      <x:c r="C2894" t="str">
        <x:v>Hombre</x:v>
      </x:c>
      <x:c r="D2894" t="str">
        <x:v>m) 60 a 64 años</x:v>
      </x:c>
      <x:c r="E2894" s="1" t="n">
        <x:v>6</x:v>
      </x:c>
    </x:row>
    <x:row r="2895">
      <x:c r="A2895" t="str">
        <x:v>XOCHIMILCO</x:v>
      </x:c>
      <x:c r="B2895" t="str">
        <x:v>Pepelaxtla</x:v>
      </x:c>
      <x:c r="C2895" t="str">
        <x:v>Hombre</x:v>
      </x:c>
      <x:c r="D2895" t="str">
        <x:v>n) 65 a 69 años</x:v>
      </x:c>
      <x:c r="E2895" s="1" t="n">
        <x:v>3</x:v>
      </x:c>
    </x:row>
    <x:row r="2896">
      <x:c r="A2896" t="str">
        <x:v>XOCHIMILCO</x:v>
      </x:c>
      <x:c r="B2896" t="str">
        <x:v>Pepelaxtla</x:v>
      </x:c>
      <x:c r="C2896" t="str">
        <x:v>Hombre</x:v>
      </x:c>
      <x:c r="D2896" t="str">
        <x:v>o) 70 a 74 años</x:v>
      </x:c>
      <x:c r="E2896" s="1" t="n">
        <x:v>0</x:v>
      </x:c>
    </x:row>
    <x:row r="2897">
      <x:c r="A2897" t="str">
        <x:v>XOCHIMILCO</x:v>
      </x:c>
      <x:c r="B2897" t="str">
        <x:v>Pepelaxtla</x:v>
      </x:c>
      <x:c r="C2897" t="str">
        <x:v>Hombre</x:v>
      </x:c>
      <x:c r="D2897" t="str">
        <x:v>p) 75 a 79 años</x:v>
      </x:c>
      <x:c r="E2897" s="1" t="n">
        <x:v>0</x:v>
      </x:c>
    </x:row>
    <x:row r="2898">
      <x:c r="A2898" t="str">
        <x:v>XOCHIMILCO</x:v>
      </x:c>
      <x:c r="B2898" t="str">
        <x:v>Pepelaxtla</x:v>
      </x:c>
      <x:c r="C2898" t="str">
        <x:v>Hombre</x:v>
      </x:c>
      <x:c r="D2898" t="str">
        <x:v>q) 80 a 84 años</x:v>
      </x:c>
      <x:c r="E2898" s="1" t="n">
        <x:v>1</x:v>
      </x:c>
    </x:row>
    <x:row r="2899">
      <x:c r="A2899" t="str">
        <x:v>XOCHIMILCO</x:v>
      </x:c>
      <x:c r="B2899" t="str">
        <x:v>Pepelaxtla</x:v>
      </x:c>
      <x:c r="C2899" t="str">
        <x:v>Hombre</x:v>
      </x:c>
      <x:c r="D2899" t="str">
        <x:v>r) 85 años y más</x:v>
      </x:c>
      <x:c r="E2899" s="1" t="n">
        <x:v>0</x:v>
      </x:c>
    </x:row>
    <x:row r="2900">
      <x:c r="A2900" t="str">
        <x:v>XOCHIMILCO</x:v>
      </x:c>
      <x:c r="B2900" t="str">
        <x:v>Pepelaxtla</x:v>
      </x:c>
      <x:c r="C2900" t="str">
        <x:v>Mujer</x:v>
      </x:c>
      <x:c r="D2900" t="str">
        <x:v>a) 0 a 4 años</x:v>
      </x:c>
      <x:c r="E2900" s="1" t="n">
        <x:v>12</x:v>
      </x:c>
    </x:row>
    <x:row r="2901">
      <x:c r="A2901" t="str">
        <x:v>XOCHIMILCO</x:v>
      </x:c>
      <x:c r="B2901" t="str">
        <x:v>Pepelaxtla</x:v>
      </x:c>
      <x:c r="C2901" t="str">
        <x:v>Mujer</x:v>
      </x:c>
      <x:c r="D2901" t="str">
        <x:v>b) 5 a 9 años</x:v>
      </x:c>
      <x:c r="E2901" s="1" t="n">
        <x:v>10</x:v>
      </x:c>
    </x:row>
    <x:row r="2902">
      <x:c r="A2902" t="str">
        <x:v>XOCHIMILCO</x:v>
      </x:c>
      <x:c r="B2902" t="str">
        <x:v>Pepelaxtla</x:v>
      </x:c>
      <x:c r="C2902" t="str">
        <x:v>Mujer</x:v>
      </x:c>
      <x:c r="D2902" t="str">
        <x:v>c) 10 a 14 años</x:v>
      </x:c>
      <x:c r="E2902" s="1" t="n">
        <x:v>15</x:v>
      </x:c>
    </x:row>
    <x:row r="2903">
      <x:c r="A2903" t="str">
        <x:v>XOCHIMILCO</x:v>
      </x:c>
      <x:c r="B2903" t="str">
        <x:v>Pepelaxtla</x:v>
      </x:c>
      <x:c r="C2903" t="str">
        <x:v>Mujer</x:v>
      </x:c>
      <x:c r="D2903" t="str">
        <x:v>d) 15 a 19 años</x:v>
      </x:c>
      <x:c r="E2903" s="1" t="n">
        <x:v>13</x:v>
      </x:c>
    </x:row>
    <x:row r="2904">
      <x:c r="A2904" t="str">
        <x:v>XOCHIMILCO</x:v>
      </x:c>
      <x:c r="B2904" t="str">
        <x:v>Pepelaxtla</x:v>
      </x:c>
      <x:c r="C2904" t="str">
        <x:v>Mujer</x:v>
      </x:c>
      <x:c r="D2904" t="str">
        <x:v>e) 20 a 24 años</x:v>
      </x:c>
      <x:c r="E2904" s="1" t="n">
        <x:v>22</x:v>
      </x:c>
    </x:row>
    <x:row r="2905">
      <x:c r="A2905" t="str">
        <x:v>XOCHIMILCO</x:v>
      </x:c>
      <x:c r="B2905" t="str">
        <x:v>Pepelaxtla</x:v>
      </x:c>
      <x:c r="C2905" t="str">
        <x:v>Mujer</x:v>
      </x:c>
      <x:c r="D2905" t="str">
        <x:v>f) 25 a 29 años</x:v>
      </x:c>
      <x:c r="E2905" s="1" t="n">
        <x:v>22</x:v>
      </x:c>
    </x:row>
    <x:row r="2906">
      <x:c r="A2906" t="str">
        <x:v>XOCHIMILCO</x:v>
      </x:c>
      <x:c r="B2906" t="str">
        <x:v>Pepelaxtla</x:v>
      </x:c>
      <x:c r="C2906" t="str">
        <x:v>Mujer</x:v>
      </x:c>
      <x:c r="D2906" t="str">
        <x:v>g) 30 a 34 años</x:v>
      </x:c>
      <x:c r="E2906" s="1" t="n">
        <x:v>9</x:v>
      </x:c>
    </x:row>
    <x:row r="2907">
      <x:c r="A2907" t="str">
        <x:v>XOCHIMILCO</x:v>
      </x:c>
      <x:c r="B2907" t="str">
        <x:v>Pepelaxtla</x:v>
      </x:c>
      <x:c r="C2907" t="str">
        <x:v>Mujer</x:v>
      </x:c>
      <x:c r="D2907" t="str">
        <x:v>h) 35 a 39 años</x:v>
      </x:c>
      <x:c r="E2907" s="1" t="n">
        <x:v>8</x:v>
      </x:c>
    </x:row>
    <x:row r="2908">
      <x:c r="A2908" t="str">
        <x:v>XOCHIMILCO</x:v>
      </x:c>
      <x:c r="B2908" t="str">
        <x:v>Pepelaxtla</x:v>
      </x:c>
      <x:c r="C2908" t="str">
        <x:v>Mujer</x:v>
      </x:c>
      <x:c r="D2908" t="str">
        <x:v>i) 40 a 44 años</x:v>
      </x:c>
      <x:c r="E2908" s="1" t="n">
        <x:v>8</x:v>
      </x:c>
    </x:row>
    <x:row r="2909">
      <x:c r="A2909" t="str">
        <x:v>XOCHIMILCO</x:v>
      </x:c>
      <x:c r="B2909" t="str">
        <x:v>Pepelaxtla</x:v>
      </x:c>
      <x:c r="C2909" t="str">
        <x:v>Mujer</x:v>
      </x:c>
      <x:c r="D2909" t="str">
        <x:v>j) 45 a 49 años</x:v>
      </x:c>
      <x:c r="E2909" s="1" t="n">
        <x:v>16</x:v>
      </x:c>
    </x:row>
    <x:row r="2910">
      <x:c r="A2910" t="str">
        <x:v>XOCHIMILCO</x:v>
      </x:c>
      <x:c r="B2910" t="str">
        <x:v>Pepelaxtla</x:v>
      </x:c>
      <x:c r="C2910" t="str">
        <x:v>Mujer</x:v>
      </x:c>
      <x:c r="D2910" t="str">
        <x:v>k) 50 a 54 años</x:v>
      </x:c>
      <x:c r="E2910" s="1" t="n">
        <x:v>13</x:v>
      </x:c>
    </x:row>
    <x:row r="2911">
      <x:c r="A2911" t="str">
        <x:v>XOCHIMILCO</x:v>
      </x:c>
      <x:c r="B2911" t="str">
        <x:v>Pepelaxtla</x:v>
      </x:c>
      <x:c r="C2911" t="str">
        <x:v>Mujer</x:v>
      </x:c>
      <x:c r="D2911" t="str">
        <x:v>l) 55 a 59 años</x:v>
      </x:c>
      <x:c r="E2911" s="1" t="n">
        <x:v>6</x:v>
      </x:c>
    </x:row>
    <x:row r="2912">
      <x:c r="A2912" t="str">
        <x:v>XOCHIMILCO</x:v>
      </x:c>
      <x:c r="B2912" t="str">
        <x:v>Pepelaxtla</x:v>
      </x:c>
      <x:c r="C2912" t="str">
        <x:v>Mujer</x:v>
      </x:c>
      <x:c r="D2912" t="str">
        <x:v>m) 60 a 64 años</x:v>
      </x:c>
      <x:c r="E2912" s="1" t="n">
        <x:v>5</x:v>
      </x:c>
    </x:row>
    <x:row r="2913">
      <x:c r="A2913" t="str">
        <x:v>XOCHIMILCO</x:v>
      </x:c>
      <x:c r="B2913" t="str">
        <x:v>Pepelaxtla</x:v>
      </x:c>
      <x:c r="C2913" t="str">
        <x:v>Mujer</x:v>
      </x:c>
      <x:c r="D2913" t="str">
        <x:v>n) 65 a 69 años</x:v>
      </x:c>
      <x:c r="E2913" s="1" t="n">
        <x:v>5</x:v>
      </x:c>
    </x:row>
    <x:row r="2914">
      <x:c r="A2914" t="str">
        <x:v>XOCHIMILCO</x:v>
      </x:c>
      <x:c r="B2914" t="str">
        <x:v>Pepelaxtla</x:v>
      </x:c>
      <x:c r="C2914" t="str">
        <x:v>Mujer</x:v>
      </x:c>
      <x:c r="D2914" t="str">
        <x:v>o) 70 a 74 años</x:v>
      </x:c>
      <x:c r="E2914" s="1" t="n">
        <x:v>1</x:v>
      </x:c>
    </x:row>
    <x:row r="2915">
      <x:c r="A2915" t="str">
        <x:v>XOCHIMILCO</x:v>
      </x:c>
      <x:c r="B2915" t="str">
        <x:v>Pepelaxtla</x:v>
      </x:c>
      <x:c r="C2915" t="str">
        <x:v>Mujer</x:v>
      </x:c>
      <x:c r="D2915" t="str">
        <x:v>p) 75 a 79 años</x:v>
      </x:c>
      <x:c r="E2915" s="1" t="n">
        <x:v>1</x:v>
      </x:c>
    </x:row>
    <x:row r="2916">
      <x:c r="A2916" t="str">
        <x:v>XOCHIMILCO</x:v>
      </x:c>
      <x:c r="B2916" t="str">
        <x:v>Pepelaxtla</x:v>
      </x:c>
      <x:c r="C2916" t="str">
        <x:v>Mujer</x:v>
      </x:c>
      <x:c r="D2916" t="str">
        <x:v>q) 80 a 84 años</x:v>
      </x:c>
      <x:c r="E2916" s="1" t="n">
        <x:v>1</x:v>
      </x:c>
    </x:row>
    <x:row r="2917">
      <x:c r="A2917" t="str">
        <x:v>XOCHIMILCO</x:v>
      </x:c>
      <x:c r="B2917" t="str">
        <x:v>Pepelaxtla</x:v>
      </x:c>
      <x:c r="C2917" t="str">
        <x:v>Mujer</x:v>
      </x:c>
      <x:c r="D2917" t="str">
        <x:v>r) 85 años y más</x:v>
      </x:c>
      <x:c r="E2917" s="1" t="n">
        <x:v>1</x:v>
      </x:c>
    </x:row>
    <x:row r="2918">
      <x:c r="A2918" t="str">
        <x:v>XOCHIMILCO</x:v>
      </x:c>
      <x:c r="B2918" t="str">
        <x:v>Ocotitla Tepachuxiac</x:v>
      </x:c>
      <x:c r="C2918" t="str">
        <x:v>Hombre</x:v>
      </x:c>
      <x:c r="D2918" t="str">
        <x:v>a) 0 a 4 años</x:v>
      </x:c>
      <x:c r="E2918" s="1" t="n">
        <x:v>9</x:v>
      </x:c>
    </x:row>
    <x:row r="2919">
      <x:c r="A2919" t="str">
        <x:v>XOCHIMILCO</x:v>
      </x:c>
      <x:c r="B2919" t="str">
        <x:v>Ocotitla Tepachuxiac</x:v>
      </x:c>
      <x:c r="C2919" t="str">
        <x:v>Hombre</x:v>
      </x:c>
      <x:c r="D2919" t="str">
        <x:v>b) 5 a 9 años</x:v>
      </x:c>
      <x:c r="E2919" s="1" t="n">
        <x:v>16</x:v>
      </x:c>
    </x:row>
    <x:row r="2920">
      <x:c r="A2920" t="str">
        <x:v>XOCHIMILCO</x:v>
      </x:c>
      <x:c r="B2920" t="str">
        <x:v>Ocotitla Tepachuxiac</x:v>
      </x:c>
      <x:c r="C2920" t="str">
        <x:v>Hombre</x:v>
      </x:c>
      <x:c r="D2920" t="str">
        <x:v>c) 10 a 14 años</x:v>
      </x:c>
      <x:c r="E2920" s="1" t="n">
        <x:v>7</x:v>
      </x:c>
    </x:row>
    <x:row r="2921">
      <x:c r="A2921" t="str">
        <x:v>XOCHIMILCO</x:v>
      </x:c>
      <x:c r="B2921" t="str">
        <x:v>Ocotitla Tepachuxiac</x:v>
      </x:c>
      <x:c r="C2921" t="str">
        <x:v>Hombre</x:v>
      </x:c>
      <x:c r="D2921" t="str">
        <x:v>d) 15 a 19 años</x:v>
      </x:c>
      <x:c r="E2921" s="1" t="n">
        <x:v>14</x:v>
      </x:c>
    </x:row>
    <x:row r="2922">
      <x:c r="A2922" t="str">
        <x:v>XOCHIMILCO</x:v>
      </x:c>
      <x:c r="B2922" t="str">
        <x:v>Ocotitla Tepachuxiac</x:v>
      </x:c>
      <x:c r="C2922" t="str">
        <x:v>Hombre</x:v>
      </x:c>
      <x:c r="D2922" t="str">
        <x:v>e) 20 a 24 años</x:v>
      </x:c>
      <x:c r="E2922" s="1" t="n">
        <x:v>16</x:v>
      </x:c>
    </x:row>
    <x:row r="2923">
      <x:c r="A2923" t="str">
        <x:v>XOCHIMILCO</x:v>
      </x:c>
      <x:c r="B2923" t="str">
        <x:v>Ocotitla Tepachuxiac</x:v>
      </x:c>
      <x:c r="C2923" t="str">
        <x:v>Hombre</x:v>
      </x:c>
      <x:c r="D2923" t="str">
        <x:v>f) 25 a 29 años</x:v>
      </x:c>
      <x:c r="E2923" s="1" t="n">
        <x:v>12</x:v>
      </x:c>
    </x:row>
    <x:row r="2924">
      <x:c r="A2924" t="str">
        <x:v>XOCHIMILCO</x:v>
      </x:c>
      <x:c r="B2924" t="str">
        <x:v>Ocotitla Tepachuxiac</x:v>
      </x:c>
      <x:c r="C2924" t="str">
        <x:v>Hombre</x:v>
      </x:c>
      <x:c r="D2924" t="str">
        <x:v>g) 30 a 34 años</x:v>
      </x:c>
      <x:c r="E2924" s="1" t="n">
        <x:v>11</x:v>
      </x:c>
    </x:row>
    <x:row r="2925">
      <x:c r="A2925" t="str">
        <x:v>XOCHIMILCO</x:v>
      </x:c>
      <x:c r="B2925" t="str">
        <x:v>Ocotitla Tepachuxiac</x:v>
      </x:c>
      <x:c r="C2925" t="str">
        <x:v>Hombre</x:v>
      </x:c>
      <x:c r="D2925" t="str">
        <x:v>h) 35 a 39 años</x:v>
      </x:c>
      <x:c r="E2925" s="1" t="n">
        <x:v>14</x:v>
      </x:c>
    </x:row>
    <x:row r="2926">
      <x:c r="A2926" t="str">
        <x:v>XOCHIMILCO</x:v>
      </x:c>
      <x:c r="B2926" t="str">
        <x:v>Ocotitla Tepachuxiac</x:v>
      </x:c>
      <x:c r="C2926" t="str">
        <x:v>Hombre</x:v>
      </x:c>
      <x:c r="D2926" t="str">
        <x:v>i) 40 a 44 años</x:v>
      </x:c>
      <x:c r="E2926" s="1" t="n">
        <x:v>10</x:v>
      </x:c>
    </x:row>
    <x:row r="2927">
      <x:c r="A2927" t="str">
        <x:v>XOCHIMILCO</x:v>
      </x:c>
      <x:c r="B2927" t="str">
        <x:v>Ocotitla Tepachuxiac</x:v>
      </x:c>
      <x:c r="C2927" t="str">
        <x:v>Hombre</x:v>
      </x:c>
      <x:c r="D2927" t="str">
        <x:v>j) 45 a 49 años</x:v>
      </x:c>
      <x:c r="E2927" s="1" t="n">
        <x:v>11</x:v>
      </x:c>
    </x:row>
    <x:row r="2928">
      <x:c r="A2928" t="str">
        <x:v>XOCHIMILCO</x:v>
      </x:c>
      <x:c r="B2928" t="str">
        <x:v>Ocotitla Tepachuxiac</x:v>
      </x:c>
      <x:c r="C2928" t="str">
        <x:v>Hombre</x:v>
      </x:c>
      <x:c r="D2928" t="str">
        <x:v>k) 50 a 54 años</x:v>
      </x:c>
      <x:c r="E2928" s="1" t="n">
        <x:v>7</x:v>
      </x:c>
    </x:row>
    <x:row r="2929">
      <x:c r="A2929" t="str">
        <x:v>XOCHIMILCO</x:v>
      </x:c>
      <x:c r="B2929" t="str">
        <x:v>Ocotitla Tepachuxiac</x:v>
      </x:c>
      <x:c r="C2929" t="str">
        <x:v>Hombre</x:v>
      </x:c>
      <x:c r="D2929" t="str">
        <x:v>l) 55 a 59 años</x:v>
      </x:c>
      <x:c r="E2929" s="1" t="n">
        <x:v>8</x:v>
      </x:c>
    </x:row>
    <x:row r="2930">
      <x:c r="A2930" t="str">
        <x:v>XOCHIMILCO</x:v>
      </x:c>
      <x:c r="B2930" t="str">
        <x:v>Ocotitla Tepachuxiac</x:v>
      </x:c>
      <x:c r="C2930" t="str">
        <x:v>Hombre</x:v>
      </x:c>
      <x:c r="D2930" t="str">
        <x:v>m) 60 a 64 años</x:v>
      </x:c>
      <x:c r="E2930" s="1" t="n">
        <x:v>4</x:v>
      </x:c>
    </x:row>
    <x:row r="2931">
      <x:c r="A2931" t="str">
        <x:v>XOCHIMILCO</x:v>
      </x:c>
      <x:c r="B2931" t="str">
        <x:v>Ocotitla Tepachuxiac</x:v>
      </x:c>
      <x:c r="C2931" t="str">
        <x:v>Hombre</x:v>
      </x:c>
      <x:c r="D2931" t="str">
        <x:v>n) 65 a 69 años</x:v>
      </x:c>
      <x:c r="E2931" s="1" t="n">
        <x:v>1</x:v>
      </x:c>
    </x:row>
    <x:row r="2932">
      <x:c r="A2932" t="str">
        <x:v>XOCHIMILCO</x:v>
      </x:c>
      <x:c r="B2932" t="str">
        <x:v>Ocotitla Tepachuxiac</x:v>
      </x:c>
      <x:c r="C2932" t="str">
        <x:v>Hombre</x:v>
      </x:c>
      <x:c r="D2932" t="str">
        <x:v>o) 70 a 74 años</x:v>
      </x:c>
      <x:c r="E2932" s="1" t="n">
        <x:v>3</x:v>
      </x:c>
    </x:row>
    <x:row r="2933">
      <x:c r="A2933" t="str">
        <x:v>XOCHIMILCO</x:v>
      </x:c>
      <x:c r="B2933" t="str">
        <x:v>Ocotitla Tepachuxiac</x:v>
      </x:c>
      <x:c r="C2933" t="str">
        <x:v>Hombre</x:v>
      </x:c>
      <x:c r="D2933" t="str">
        <x:v>p) 75 a 79 años</x:v>
      </x:c>
      <x:c r="E2933" s="1" t="n">
        <x:v>1</x:v>
      </x:c>
    </x:row>
    <x:row r="2934">
      <x:c r="A2934" t="str">
        <x:v>XOCHIMILCO</x:v>
      </x:c>
      <x:c r="B2934" t="str">
        <x:v>Ocotitla Tepachuxiac</x:v>
      </x:c>
      <x:c r="C2934" t="str">
        <x:v>Hombre</x:v>
      </x:c>
      <x:c r="D2934" t="str">
        <x:v>q) 80 a 84 años</x:v>
      </x:c>
      <x:c r="E2934" s="1" t="n">
        <x:v>0</x:v>
      </x:c>
    </x:row>
    <x:row r="2935">
      <x:c r="A2935" t="str">
        <x:v>XOCHIMILCO</x:v>
      </x:c>
      <x:c r="B2935" t="str">
        <x:v>Ocotitla Tepachuxiac</x:v>
      </x:c>
      <x:c r="C2935" t="str">
        <x:v>Hombre</x:v>
      </x:c>
      <x:c r="D2935" t="str">
        <x:v>r) 85 años y más</x:v>
      </x:c>
      <x:c r="E2935" s="1" t="n">
        <x:v>0</x:v>
      </x:c>
    </x:row>
    <x:row r="2936">
      <x:c r="A2936" t="str">
        <x:v>XOCHIMILCO</x:v>
      </x:c>
      <x:c r="B2936" t="str">
        <x:v>Ocotitla Tepachuxiac</x:v>
      </x:c>
      <x:c r="C2936" t="str">
        <x:v>Mujer</x:v>
      </x:c>
      <x:c r="D2936" t="str">
        <x:v>a) 0 a 4 años</x:v>
      </x:c>
      <x:c r="E2936" s="1" t="n">
        <x:v>13</x:v>
      </x:c>
    </x:row>
    <x:row r="2937">
      <x:c r="A2937" t="str">
        <x:v>XOCHIMILCO</x:v>
      </x:c>
      <x:c r="B2937" t="str">
        <x:v>Ocotitla Tepachuxiac</x:v>
      </x:c>
      <x:c r="C2937" t="str">
        <x:v>Mujer</x:v>
      </x:c>
      <x:c r="D2937" t="str">
        <x:v>b) 5 a 9 años</x:v>
      </x:c>
      <x:c r="E2937" s="1" t="n">
        <x:v>8</x:v>
      </x:c>
    </x:row>
    <x:row r="2938">
      <x:c r="A2938" t="str">
        <x:v>XOCHIMILCO</x:v>
      </x:c>
      <x:c r="B2938" t="str">
        <x:v>Ocotitla Tepachuxiac</x:v>
      </x:c>
      <x:c r="C2938" t="str">
        <x:v>Mujer</x:v>
      </x:c>
      <x:c r="D2938" t="str">
        <x:v>c) 10 a 14 años</x:v>
      </x:c>
      <x:c r="E2938" s="1" t="n">
        <x:v>6</x:v>
      </x:c>
    </x:row>
    <x:row r="2939">
      <x:c r="A2939" t="str">
        <x:v>XOCHIMILCO</x:v>
      </x:c>
      <x:c r="B2939" t="str">
        <x:v>Ocotitla Tepachuxiac</x:v>
      </x:c>
      <x:c r="C2939" t="str">
        <x:v>Mujer</x:v>
      </x:c>
      <x:c r="D2939" t="str">
        <x:v>d) 15 a 19 años</x:v>
      </x:c>
      <x:c r="E2939" s="1" t="n">
        <x:v>9</x:v>
      </x:c>
    </x:row>
    <x:row r="2940">
      <x:c r="A2940" t="str">
        <x:v>XOCHIMILCO</x:v>
      </x:c>
      <x:c r="B2940" t="str">
        <x:v>Ocotitla Tepachuxiac</x:v>
      </x:c>
      <x:c r="C2940" t="str">
        <x:v>Mujer</x:v>
      </x:c>
      <x:c r="D2940" t="str">
        <x:v>e) 20 a 24 años</x:v>
      </x:c>
      <x:c r="E2940" s="1" t="n">
        <x:v>19</x:v>
      </x:c>
    </x:row>
    <x:row r="2941">
      <x:c r="A2941" t="str">
        <x:v>XOCHIMILCO</x:v>
      </x:c>
      <x:c r="B2941" t="str">
        <x:v>Ocotitla Tepachuxiac</x:v>
      </x:c>
      <x:c r="C2941" t="str">
        <x:v>Mujer</x:v>
      </x:c>
      <x:c r="D2941" t="str">
        <x:v>f) 25 a 29 años</x:v>
      </x:c>
      <x:c r="E2941" s="1" t="n">
        <x:v>7</x:v>
      </x:c>
    </x:row>
    <x:row r="2942">
      <x:c r="A2942" t="str">
        <x:v>XOCHIMILCO</x:v>
      </x:c>
      <x:c r="B2942" t="str">
        <x:v>Ocotitla Tepachuxiac</x:v>
      </x:c>
      <x:c r="C2942" t="str">
        <x:v>Mujer</x:v>
      </x:c>
      <x:c r="D2942" t="str">
        <x:v>g) 30 a 34 años</x:v>
      </x:c>
      <x:c r="E2942" s="1" t="n">
        <x:v>12</x:v>
      </x:c>
    </x:row>
    <x:row r="2943">
      <x:c r="A2943" t="str">
        <x:v>XOCHIMILCO</x:v>
      </x:c>
      <x:c r="B2943" t="str">
        <x:v>Ocotitla Tepachuxiac</x:v>
      </x:c>
      <x:c r="C2943" t="str">
        <x:v>Mujer</x:v>
      </x:c>
      <x:c r="D2943" t="str">
        <x:v>h) 35 a 39 años</x:v>
      </x:c>
      <x:c r="E2943" s="1" t="n">
        <x:v>11</x:v>
      </x:c>
    </x:row>
    <x:row r="2944">
      <x:c r="A2944" t="str">
        <x:v>XOCHIMILCO</x:v>
      </x:c>
      <x:c r="B2944" t="str">
        <x:v>Ocotitla Tepachuxiac</x:v>
      </x:c>
      <x:c r="C2944" t="str">
        <x:v>Mujer</x:v>
      </x:c>
      <x:c r="D2944" t="str">
        <x:v>i) 40 a 44 años</x:v>
      </x:c>
      <x:c r="E2944" s="1" t="n">
        <x:v>8</x:v>
      </x:c>
    </x:row>
    <x:row r="2945">
      <x:c r="A2945" t="str">
        <x:v>XOCHIMILCO</x:v>
      </x:c>
      <x:c r="B2945" t="str">
        <x:v>Ocotitla Tepachuxiac</x:v>
      </x:c>
      <x:c r="C2945" t="str">
        <x:v>Mujer</x:v>
      </x:c>
      <x:c r="D2945" t="str">
        <x:v>j) 45 a 49 años</x:v>
      </x:c>
      <x:c r="E2945" s="1" t="n">
        <x:v>6</x:v>
      </x:c>
    </x:row>
    <x:row r="2946">
      <x:c r="A2946" t="str">
        <x:v>XOCHIMILCO</x:v>
      </x:c>
      <x:c r="B2946" t="str">
        <x:v>Ocotitla Tepachuxiac</x:v>
      </x:c>
      <x:c r="C2946" t="str">
        <x:v>Mujer</x:v>
      </x:c>
      <x:c r="D2946" t="str">
        <x:v>k) 50 a 54 años</x:v>
      </x:c>
      <x:c r="E2946" s="1" t="n">
        <x:v>14</x:v>
      </x:c>
    </x:row>
    <x:row r="2947">
      <x:c r="A2947" t="str">
        <x:v>XOCHIMILCO</x:v>
      </x:c>
      <x:c r="B2947" t="str">
        <x:v>Ocotitla Tepachuxiac</x:v>
      </x:c>
      <x:c r="C2947" t="str">
        <x:v>Mujer</x:v>
      </x:c>
      <x:c r="D2947" t="str">
        <x:v>l) 55 a 59 años</x:v>
      </x:c>
      <x:c r="E2947" s="1" t="n">
        <x:v>6</x:v>
      </x:c>
    </x:row>
    <x:row r="2948">
      <x:c r="A2948" t="str">
        <x:v>XOCHIMILCO</x:v>
      </x:c>
      <x:c r="B2948" t="str">
        <x:v>Ocotitla Tepachuxiac</x:v>
      </x:c>
      <x:c r="C2948" t="str">
        <x:v>Mujer</x:v>
      </x:c>
      <x:c r="D2948" t="str">
        <x:v>m) 60 a 64 años</x:v>
      </x:c>
      <x:c r="E2948" s="1" t="n">
        <x:v>2</x:v>
      </x:c>
    </x:row>
    <x:row r="2949">
      <x:c r="A2949" t="str">
        <x:v>XOCHIMILCO</x:v>
      </x:c>
      <x:c r="B2949" t="str">
        <x:v>Ocotitla Tepachuxiac</x:v>
      </x:c>
      <x:c r="C2949" t="str">
        <x:v>Mujer</x:v>
      </x:c>
      <x:c r="D2949" t="str">
        <x:v>n) 65 a 69 años</x:v>
      </x:c>
      <x:c r="E2949" s="1" t="n">
        <x:v>2</x:v>
      </x:c>
    </x:row>
    <x:row r="2950">
      <x:c r="A2950" t="str">
        <x:v>XOCHIMILCO</x:v>
      </x:c>
      <x:c r="B2950" t="str">
        <x:v>Ocotitla Tepachuxiac</x:v>
      </x:c>
      <x:c r="C2950" t="str">
        <x:v>Mujer</x:v>
      </x:c>
      <x:c r="D2950" t="str">
        <x:v>o) 70 a 74 años</x:v>
      </x:c>
      <x:c r="E2950" s="1" t="n">
        <x:v>3</x:v>
      </x:c>
    </x:row>
    <x:row r="2951">
      <x:c r="A2951" t="str">
        <x:v>XOCHIMILCO</x:v>
      </x:c>
      <x:c r="B2951" t="str">
        <x:v>Ocotitla Tepachuxiac</x:v>
      </x:c>
      <x:c r="C2951" t="str">
        <x:v>Mujer</x:v>
      </x:c>
      <x:c r="D2951" t="str">
        <x:v>p) 75 a 79 años</x:v>
      </x:c>
      <x:c r="E2951" s="1" t="n">
        <x:v>0</x:v>
      </x:c>
    </x:row>
    <x:row r="2952">
      <x:c r="A2952" t="str">
        <x:v>XOCHIMILCO</x:v>
      </x:c>
      <x:c r="B2952" t="str">
        <x:v>Ocotitla Tepachuxiac</x:v>
      </x:c>
      <x:c r="C2952" t="str">
        <x:v>Mujer</x:v>
      </x:c>
      <x:c r="D2952" t="str">
        <x:v>q) 80 a 84 años</x:v>
      </x:c>
      <x:c r="E2952" s="1" t="n">
        <x:v>1</x:v>
      </x:c>
    </x:row>
    <x:row r="2953">
      <x:c r="A2953" t="str">
        <x:v>XOCHIMILCO</x:v>
      </x:c>
      <x:c r="B2953" t="str">
        <x:v>Ocotitla Tepachuxiac</x:v>
      </x:c>
      <x:c r="C2953" t="str">
        <x:v>Mujer</x:v>
      </x:c>
      <x:c r="D2953" t="str">
        <x:v>r) 85 años y más</x:v>
      </x:c>
      <x:c r="E2953" s="1" t="n">
        <x:v>0</x:v>
      </x:c>
    </x:row>
    <x:row r="2954">
      <x:c r="A2954" t="str">
        <x:v>XOCHIMILCO</x:v>
      </x:c>
      <x:c r="B2954" t="str">
        <x:v>Atotle</x:v>
      </x:c>
      <x:c r="C2954" t="str">
        <x:v>Hombre</x:v>
      </x:c>
      <x:c r="D2954" t="str">
        <x:v>a) 0 a 4 años</x:v>
      </x:c>
      <x:c r="E2954" s="1" t="n">
        <x:v>7</x:v>
      </x:c>
    </x:row>
    <x:row r="2955">
      <x:c r="A2955" t="str">
        <x:v>XOCHIMILCO</x:v>
      </x:c>
      <x:c r="B2955" t="str">
        <x:v>Atotle</x:v>
      </x:c>
      <x:c r="C2955" t="str">
        <x:v>Hombre</x:v>
      </x:c>
      <x:c r="D2955" t="str">
        <x:v>b) 5 a 9 años</x:v>
      </x:c>
      <x:c r="E2955" s="1" t="n">
        <x:v>15</x:v>
      </x:c>
    </x:row>
    <x:row r="2956">
      <x:c r="A2956" t="str">
        <x:v>XOCHIMILCO</x:v>
      </x:c>
      <x:c r="B2956" t="str">
        <x:v>Atotle</x:v>
      </x:c>
      <x:c r="C2956" t="str">
        <x:v>Hombre</x:v>
      </x:c>
      <x:c r="D2956" t="str">
        <x:v>c) 10 a 14 años</x:v>
      </x:c>
      <x:c r="E2956" s="1" t="n">
        <x:v>17</x:v>
      </x:c>
    </x:row>
    <x:row r="2957">
      <x:c r="A2957" t="str">
        <x:v>XOCHIMILCO</x:v>
      </x:c>
      <x:c r="B2957" t="str">
        <x:v>Atotle</x:v>
      </x:c>
      <x:c r="C2957" t="str">
        <x:v>Hombre</x:v>
      </x:c>
      <x:c r="D2957" t="str">
        <x:v>d) 15 a 19 años</x:v>
      </x:c>
      <x:c r="E2957" s="1" t="n">
        <x:v>22</x:v>
      </x:c>
    </x:row>
    <x:row r="2958">
      <x:c r="A2958" t="str">
        <x:v>XOCHIMILCO</x:v>
      </x:c>
      <x:c r="B2958" t="str">
        <x:v>Atotle</x:v>
      </x:c>
      <x:c r="C2958" t="str">
        <x:v>Hombre</x:v>
      </x:c>
      <x:c r="D2958" t="str">
        <x:v>e) 20 a 24 años</x:v>
      </x:c>
      <x:c r="E2958" s="1" t="n">
        <x:v>12</x:v>
      </x:c>
    </x:row>
    <x:row r="2959">
      <x:c r="A2959" t="str">
        <x:v>XOCHIMILCO</x:v>
      </x:c>
      <x:c r="B2959" t="str">
        <x:v>Atotle</x:v>
      </x:c>
      <x:c r="C2959" t="str">
        <x:v>Hombre</x:v>
      </x:c>
      <x:c r="D2959" t="str">
        <x:v>f) 25 a 29 años</x:v>
      </x:c>
      <x:c r="E2959" s="1" t="n">
        <x:v>15</x:v>
      </x:c>
    </x:row>
    <x:row r="2960">
      <x:c r="A2960" t="str">
        <x:v>XOCHIMILCO</x:v>
      </x:c>
      <x:c r="B2960" t="str">
        <x:v>Atotle</x:v>
      </x:c>
      <x:c r="C2960" t="str">
        <x:v>Hombre</x:v>
      </x:c>
      <x:c r="D2960" t="str">
        <x:v>g) 30 a 34 años</x:v>
      </x:c>
      <x:c r="E2960" s="1" t="n">
        <x:v>12</x:v>
      </x:c>
    </x:row>
    <x:row r="2961">
      <x:c r="A2961" t="str">
        <x:v>XOCHIMILCO</x:v>
      </x:c>
      <x:c r="B2961" t="str">
        <x:v>Atotle</x:v>
      </x:c>
      <x:c r="C2961" t="str">
        <x:v>Hombre</x:v>
      </x:c>
      <x:c r="D2961" t="str">
        <x:v>h) 35 a 39 años</x:v>
      </x:c>
      <x:c r="E2961" s="1" t="n">
        <x:v>16</x:v>
      </x:c>
    </x:row>
    <x:row r="2962">
      <x:c r="A2962" t="str">
        <x:v>XOCHIMILCO</x:v>
      </x:c>
      <x:c r="B2962" t="str">
        <x:v>Atotle</x:v>
      </x:c>
      <x:c r="C2962" t="str">
        <x:v>Hombre</x:v>
      </x:c>
      <x:c r="D2962" t="str">
        <x:v>i) 40 a 44 años</x:v>
      </x:c>
      <x:c r="E2962" s="1" t="n">
        <x:v>10</x:v>
      </x:c>
    </x:row>
    <x:row r="2963">
      <x:c r="A2963" t="str">
        <x:v>XOCHIMILCO</x:v>
      </x:c>
      <x:c r="B2963" t="str">
        <x:v>Atotle</x:v>
      </x:c>
      <x:c r="C2963" t="str">
        <x:v>Hombre</x:v>
      </x:c>
      <x:c r="D2963" t="str">
        <x:v>j) 45 a 49 años</x:v>
      </x:c>
      <x:c r="E2963" s="1" t="n">
        <x:v>6</x:v>
      </x:c>
    </x:row>
    <x:row r="2964">
      <x:c r="A2964" t="str">
        <x:v>XOCHIMILCO</x:v>
      </x:c>
      <x:c r="B2964" t="str">
        <x:v>Atotle</x:v>
      </x:c>
      <x:c r="C2964" t="str">
        <x:v>Hombre</x:v>
      </x:c>
      <x:c r="D2964" t="str">
        <x:v>k) 50 a 54 años</x:v>
      </x:c>
      <x:c r="E2964" s="1" t="n">
        <x:v>7</x:v>
      </x:c>
    </x:row>
    <x:row r="2965">
      <x:c r="A2965" t="str">
        <x:v>XOCHIMILCO</x:v>
      </x:c>
      <x:c r="B2965" t="str">
        <x:v>Atotle</x:v>
      </x:c>
      <x:c r="C2965" t="str">
        <x:v>Hombre</x:v>
      </x:c>
      <x:c r="D2965" t="str">
        <x:v>l) 55 a 59 años</x:v>
      </x:c>
      <x:c r="E2965" s="1" t="n">
        <x:v>10</x:v>
      </x:c>
    </x:row>
    <x:row r="2966">
      <x:c r="A2966" t="str">
        <x:v>XOCHIMILCO</x:v>
      </x:c>
      <x:c r="B2966" t="str">
        <x:v>Atotle</x:v>
      </x:c>
      <x:c r="C2966" t="str">
        <x:v>Hombre</x:v>
      </x:c>
      <x:c r="D2966" t="str">
        <x:v>m) 60 a 64 años</x:v>
      </x:c>
      <x:c r="E2966" s="1" t="n">
        <x:v>2</x:v>
      </x:c>
    </x:row>
    <x:row r="2967">
      <x:c r="A2967" t="str">
        <x:v>XOCHIMILCO</x:v>
      </x:c>
      <x:c r="B2967" t="str">
        <x:v>Atotle</x:v>
      </x:c>
      <x:c r="C2967" t="str">
        <x:v>Hombre</x:v>
      </x:c>
      <x:c r="D2967" t="str">
        <x:v>n) 65 a 69 años</x:v>
      </x:c>
      <x:c r="E2967" s="1" t="n">
        <x:v>2</x:v>
      </x:c>
    </x:row>
    <x:row r="2968">
      <x:c r="A2968" t="str">
        <x:v>XOCHIMILCO</x:v>
      </x:c>
      <x:c r="B2968" t="str">
        <x:v>Atotle</x:v>
      </x:c>
      <x:c r="C2968" t="str">
        <x:v>Hombre</x:v>
      </x:c>
      <x:c r="D2968" t="str">
        <x:v>o) 70 a 74 años</x:v>
      </x:c>
      <x:c r="E2968" s="1" t="n">
        <x:v>4</x:v>
      </x:c>
    </x:row>
    <x:row r="2969">
      <x:c r="A2969" t="str">
        <x:v>XOCHIMILCO</x:v>
      </x:c>
      <x:c r="B2969" t="str">
        <x:v>Atotle</x:v>
      </x:c>
      <x:c r="C2969" t="str">
        <x:v>Hombre</x:v>
      </x:c>
      <x:c r="D2969" t="str">
        <x:v>p) 75 a 79 años</x:v>
      </x:c>
      <x:c r="E2969" s="1" t="n">
        <x:v>0</x:v>
      </x:c>
    </x:row>
    <x:row r="2970">
      <x:c r="A2970" t="str">
        <x:v>XOCHIMILCO</x:v>
      </x:c>
      <x:c r="B2970" t="str">
        <x:v>Atotle</x:v>
      </x:c>
      <x:c r="C2970" t="str">
        <x:v>Hombre</x:v>
      </x:c>
      <x:c r="D2970" t="str">
        <x:v>q) 80 a 84 años</x:v>
      </x:c>
      <x:c r="E2970" s="1" t="n">
        <x:v>1</x:v>
      </x:c>
    </x:row>
    <x:row r="2971">
      <x:c r="A2971" t="str">
        <x:v>XOCHIMILCO</x:v>
      </x:c>
      <x:c r="B2971" t="str">
        <x:v>Atotle</x:v>
      </x:c>
      <x:c r="C2971" t="str">
        <x:v>Hombre</x:v>
      </x:c>
      <x:c r="D2971" t="str">
        <x:v>r) 85 años y más</x:v>
      </x:c>
      <x:c r="E2971" s="1" t="n">
        <x:v>0</x:v>
      </x:c>
    </x:row>
    <x:row r="2972">
      <x:c r="A2972" t="str">
        <x:v>XOCHIMILCO</x:v>
      </x:c>
      <x:c r="B2972" t="str">
        <x:v>Atotle</x:v>
      </x:c>
      <x:c r="C2972" t="str">
        <x:v>Mujer</x:v>
      </x:c>
      <x:c r="D2972" t="str">
        <x:v>a) 0 a 4 años</x:v>
      </x:c>
      <x:c r="E2972" s="1" t="n">
        <x:v>9</x:v>
      </x:c>
    </x:row>
    <x:row r="2973">
      <x:c r="A2973" t="str">
        <x:v>XOCHIMILCO</x:v>
      </x:c>
      <x:c r="B2973" t="str">
        <x:v>Atotle</x:v>
      </x:c>
      <x:c r="C2973" t="str">
        <x:v>Mujer</x:v>
      </x:c>
      <x:c r="D2973" t="str">
        <x:v>b) 5 a 9 años</x:v>
      </x:c>
      <x:c r="E2973" s="1" t="n">
        <x:v>15</x:v>
      </x:c>
    </x:row>
    <x:row r="2974">
      <x:c r="A2974" t="str">
        <x:v>XOCHIMILCO</x:v>
      </x:c>
      <x:c r="B2974" t="str">
        <x:v>Atotle</x:v>
      </x:c>
      <x:c r="C2974" t="str">
        <x:v>Mujer</x:v>
      </x:c>
      <x:c r="D2974" t="str">
        <x:v>c) 10 a 14 años</x:v>
      </x:c>
      <x:c r="E2974" s="1" t="n">
        <x:v>7</x:v>
      </x:c>
    </x:row>
    <x:row r="2975">
      <x:c r="A2975" t="str">
        <x:v>XOCHIMILCO</x:v>
      </x:c>
      <x:c r="B2975" t="str">
        <x:v>Atotle</x:v>
      </x:c>
      <x:c r="C2975" t="str">
        <x:v>Mujer</x:v>
      </x:c>
      <x:c r="D2975" t="str">
        <x:v>d) 15 a 19 años</x:v>
      </x:c>
      <x:c r="E2975" s="1" t="n">
        <x:v>16</x:v>
      </x:c>
    </x:row>
    <x:row r="2976">
      <x:c r="A2976" t="str">
        <x:v>XOCHIMILCO</x:v>
      </x:c>
      <x:c r="B2976" t="str">
        <x:v>Atotle</x:v>
      </x:c>
      <x:c r="C2976" t="str">
        <x:v>Mujer</x:v>
      </x:c>
      <x:c r="D2976" t="str">
        <x:v>e) 20 a 24 años</x:v>
      </x:c>
      <x:c r="E2976" s="1" t="n">
        <x:v>9</x:v>
      </x:c>
    </x:row>
    <x:row r="2977">
      <x:c r="A2977" t="str">
        <x:v>XOCHIMILCO</x:v>
      </x:c>
      <x:c r="B2977" t="str">
        <x:v>Atotle</x:v>
      </x:c>
      <x:c r="C2977" t="str">
        <x:v>Mujer</x:v>
      </x:c>
      <x:c r="D2977" t="str">
        <x:v>f) 25 a 29 años</x:v>
      </x:c>
      <x:c r="E2977" s="1" t="n">
        <x:v>18</x:v>
      </x:c>
    </x:row>
    <x:row r="2978">
      <x:c r="A2978" t="str">
        <x:v>XOCHIMILCO</x:v>
      </x:c>
      <x:c r="B2978" t="str">
        <x:v>Atotle</x:v>
      </x:c>
      <x:c r="C2978" t="str">
        <x:v>Mujer</x:v>
      </x:c>
      <x:c r="D2978" t="str">
        <x:v>g) 30 a 34 años</x:v>
      </x:c>
      <x:c r="E2978" s="1" t="n">
        <x:v>14</x:v>
      </x:c>
    </x:row>
    <x:row r="2979">
      <x:c r="A2979" t="str">
        <x:v>XOCHIMILCO</x:v>
      </x:c>
      <x:c r="B2979" t="str">
        <x:v>Atotle</x:v>
      </x:c>
      <x:c r="C2979" t="str">
        <x:v>Mujer</x:v>
      </x:c>
      <x:c r="D2979" t="str">
        <x:v>h) 35 a 39 años</x:v>
      </x:c>
      <x:c r="E2979" s="1" t="n">
        <x:v>19</x:v>
      </x:c>
    </x:row>
    <x:row r="2980">
      <x:c r="A2980" t="str">
        <x:v>XOCHIMILCO</x:v>
      </x:c>
      <x:c r="B2980" t="str">
        <x:v>Atotle</x:v>
      </x:c>
      <x:c r="C2980" t="str">
        <x:v>Mujer</x:v>
      </x:c>
      <x:c r="D2980" t="str">
        <x:v>i) 40 a 44 años</x:v>
      </x:c>
      <x:c r="E2980" s="1" t="n">
        <x:v>8</x:v>
      </x:c>
    </x:row>
    <x:row r="2981">
      <x:c r="A2981" t="str">
        <x:v>XOCHIMILCO</x:v>
      </x:c>
      <x:c r="B2981" t="str">
        <x:v>Atotle</x:v>
      </x:c>
      <x:c r="C2981" t="str">
        <x:v>Mujer</x:v>
      </x:c>
      <x:c r="D2981" t="str">
        <x:v>j) 45 a 49 años</x:v>
      </x:c>
      <x:c r="E2981" s="1" t="n">
        <x:v>17</x:v>
      </x:c>
    </x:row>
    <x:row r="2982">
      <x:c r="A2982" t="str">
        <x:v>XOCHIMILCO</x:v>
      </x:c>
      <x:c r="B2982" t="str">
        <x:v>Atotle</x:v>
      </x:c>
      <x:c r="C2982" t="str">
        <x:v>Mujer</x:v>
      </x:c>
      <x:c r="D2982" t="str">
        <x:v>k) 50 a 54 años</x:v>
      </x:c>
      <x:c r="E2982" s="1" t="n">
        <x:v>11</x:v>
      </x:c>
    </x:row>
    <x:row r="2983">
      <x:c r="A2983" t="str">
        <x:v>XOCHIMILCO</x:v>
      </x:c>
      <x:c r="B2983" t="str">
        <x:v>Atotle</x:v>
      </x:c>
      <x:c r="C2983" t="str">
        <x:v>Mujer</x:v>
      </x:c>
      <x:c r="D2983" t="str">
        <x:v>l) 55 a 59 años</x:v>
      </x:c>
      <x:c r="E2983" s="1" t="n">
        <x:v>11</x:v>
      </x:c>
    </x:row>
    <x:row r="2984">
      <x:c r="A2984" t="str">
        <x:v>XOCHIMILCO</x:v>
      </x:c>
      <x:c r="B2984" t="str">
        <x:v>Atotle</x:v>
      </x:c>
      <x:c r="C2984" t="str">
        <x:v>Mujer</x:v>
      </x:c>
      <x:c r="D2984" t="str">
        <x:v>m) 60 a 64 años</x:v>
      </x:c>
      <x:c r="E2984" s="1" t="n">
        <x:v>4</x:v>
      </x:c>
    </x:row>
    <x:row r="2985">
      <x:c r="A2985" t="str">
        <x:v>XOCHIMILCO</x:v>
      </x:c>
      <x:c r="B2985" t="str">
        <x:v>Atotle</x:v>
      </x:c>
      <x:c r="C2985" t="str">
        <x:v>Mujer</x:v>
      </x:c>
      <x:c r="D2985" t="str">
        <x:v>n) 65 a 69 años</x:v>
      </x:c>
      <x:c r="E2985" s="1" t="n">
        <x:v>6</x:v>
      </x:c>
    </x:row>
    <x:row r="2986">
      <x:c r="A2986" t="str">
        <x:v>XOCHIMILCO</x:v>
      </x:c>
      <x:c r="B2986" t="str">
        <x:v>Atotle</x:v>
      </x:c>
      <x:c r="C2986" t="str">
        <x:v>Mujer</x:v>
      </x:c>
      <x:c r="D2986" t="str">
        <x:v>o) 70 a 74 años</x:v>
      </x:c>
      <x:c r="E2986" s="1" t="n">
        <x:v>4</x:v>
      </x:c>
    </x:row>
    <x:row r="2987">
      <x:c r="A2987" t="str">
        <x:v>XOCHIMILCO</x:v>
      </x:c>
      <x:c r="B2987" t="str">
        <x:v>Atotle</x:v>
      </x:c>
      <x:c r="C2987" t="str">
        <x:v>Mujer</x:v>
      </x:c>
      <x:c r="D2987" t="str">
        <x:v>p) 75 a 79 años</x:v>
      </x:c>
      <x:c r="E2987" s="1" t="n">
        <x:v>0</x:v>
      </x:c>
    </x:row>
    <x:row r="2988">
      <x:c r="A2988" t="str">
        <x:v>XOCHIMILCO</x:v>
      </x:c>
      <x:c r="B2988" t="str">
        <x:v>Atotle</x:v>
      </x:c>
      <x:c r="C2988" t="str">
        <x:v>Mujer</x:v>
      </x:c>
      <x:c r="D2988" t="str">
        <x:v>q) 80 a 84 años</x:v>
      </x:c>
      <x:c r="E2988" s="1" t="n">
        <x:v>3</x:v>
      </x:c>
    </x:row>
    <x:row r="2989">
      <x:c r="A2989" t="str">
        <x:v>XOCHIMILCO</x:v>
      </x:c>
      <x:c r="B2989" t="str">
        <x:v>Atotle</x:v>
      </x:c>
      <x:c r="C2989" t="str">
        <x:v>Mujer</x:v>
      </x:c>
      <x:c r="D2989" t="str">
        <x:v>r) 85 años y más</x:v>
      </x:c>
      <x:c r="E2989" s="1" t="n">
        <x:v>1</x:v>
      </x:c>
    </x:row>
    <x:row r="2990">
      <x:c r="A2990" t="str">
        <x:v>XOCHIMILCO</x:v>
      </x:c>
      <x:c r="B2990" t="str">
        <x:v>Paraje Zacapa</x:v>
      </x:c>
      <x:c r="C2990" t="str">
        <x:v>Hombre</x:v>
      </x:c>
      <x:c r="D2990" t="str">
        <x:v>a) 0 a 4 años</x:v>
      </x:c>
      <x:c r="E2990" s="1" t="n">
        <x:v>28</x:v>
      </x:c>
    </x:row>
    <x:row r="2991">
      <x:c r="A2991" t="str">
        <x:v>XOCHIMILCO</x:v>
      </x:c>
      <x:c r="B2991" t="str">
        <x:v>Paraje Zacapa</x:v>
      </x:c>
      <x:c r="C2991" t="str">
        <x:v>Hombre</x:v>
      </x:c>
      <x:c r="D2991" t="str">
        <x:v>b) 5 a 9 años</x:v>
      </x:c>
      <x:c r="E2991" s="1" t="n">
        <x:v>34</x:v>
      </x:c>
    </x:row>
    <x:row r="2992">
      <x:c r="A2992" t="str">
        <x:v>XOCHIMILCO</x:v>
      </x:c>
      <x:c r="B2992" t="str">
        <x:v>Paraje Zacapa</x:v>
      </x:c>
      <x:c r="C2992" t="str">
        <x:v>Hombre</x:v>
      </x:c>
      <x:c r="D2992" t="str">
        <x:v>c) 10 a 14 años</x:v>
      </x:c>
      <x:c r="E2992" s="1" t="n">
        <x:v>45</x:v>
      </x:c>
    </x:row>
    <x:row r="2993">
      <x:c r="A2993" t="str">
        <x:v>XOCHIMILCO</x:v>
      </x:c>
      <x:c r="B2993" t="str">
        <x:v>Paraje Zacapa</x:v>
      </x:c>
      <x:c r="C2993" t="str">
        <x:v>Hombre</x:v>
      </x:c>
      <x:c r="D2993" t="str">
        <x:v>d) 15 a 19 años</x:v>
      </x:c>
      <x:c r="E2993" s="1" t="n">
        <x:v>39</x:v>
      </x:c>
    </x:row>
    <x:row r="2994">
      <x:c r="A2994" t="str">
        <x:v>XOCHIMILCO</x:v>
      </x:c>
      <x:c r="B2994" t="str">
        <x:v>Paraje Zacapa</x:v>
      </x:c>
      <x:c r="C2994" t="str">
        <x:v>Hombre</x:v>
      </x:c>
      <x:c r="D2994" t="str">
        <x:v>e) 20 a 24 años</x:v>
      </x:c>
      <x:c r="E2994" s="1" t="n">
        <x:v>41</x:v>
      </x:c>
    </x:row>
    <x:row r="2995">
      <x:c r="A2995" t="str">
        <x:v>XOCHIMILCO</x:v>
      </x:c>
      <x:c r="B2995" t="str">
        <x:v>Paraje Zacapa</x:v>
      </x:c>
      <x:c r="C2995" t="str">
        <x:v>Hombre</x:v>
      </x:c>
      <x:c r="D2995" t="str">
        <x:v>f) 25 a 29 años</x:v>
      </x:c>
      <x:c r="E2995" s="1" t="n">
        <x:v>40</x:v>
      </x:c>
    </x:row>
    <x:row r="2996">
      <x:c r="A2996" t="str">
        <x:v>XOCHIMILCO</x:v>
      </x:c>
      <x:c r="B2996" t="str">
        <x:v>Paraje Zacapa</x:v>
      </x:c>
      <x:c r="C2996" t="str">
        <x:v>Hombre</x:v>
      </x:c>
      <x:c r="D2996" t="str">
        <x:v>g) 30 a 34 años</x:v>
      </x:c>
      <x:c r="E2996" s="1" t="n">
        <x:v>37</x:v>
      </x:c>
    </x:row>
    <x:row r="2997">
      <x:c r="A2997" t="str">
        <x:v>XOCHIMILCO</x:v>
      </x:c>
      <x:c r="B2997" t="str">
        <x:v>Paraje Zacapa</x:v>
      </x:c>
      <x:c r="C2997" t="str">
        <x:v>Hombre</x:v>
      </x:c>
      <x:c r="D2997" t="str">
        <x:v>h) 35 a 39 años</x:v>
      </x:c>
      <x:c r="E2997" s="1" t="n">
        <x:v>30</x:v>
      </x:c>
    </x:row>
    <x:row r="2998">
      <x:c r="A2998" t="str">
        <x:v>XOCHIMILCO</x:v>
      </x:c>
      <x:c r="B2998" t="str">
        <x:v>Paraje Zacapa</x:v>
      </x:c>
      <x:c r="C2998" t="str">
        <x:v>Hombre</x:v>
      </x:c>
      <x:c r="D2998" t="str">
        <x:v>i) 40 a 44 años</x:v>
      </x:c>
      <x:c r="E2998" s="1" t="n">
        <x:v>36</x:v>
      </x:c>
    </x:row>
    <x:row r="2999">
      <x:c r="A2999" t="str">
        <x:v>XOCHIMILCO</x:v>
      </x:c>
      <x:c r="B2999" t="str">
        <x:v>Paraje Zacapa</x:v>
      </x:c>
      <x:c r="C2999" t="str">
        <x:v>Hombre</x:v>
      </x:c>
      <x:c r="D2999" t="str">
        <x:v>j) 45 a 49 años</x:v>
      </x:c>
      <x:c r="E2999" s="1" t="n">
        <x:v>27</x:v>
      </x:c>
    </x:row>
    <x:row r="3000">
      <x:c r="A3000" t="str">
        <x:v>XOCHIMILCO</x:v>
      </x:c>
      <x:c r="B3000" t="str">
        <x:v>Paraje Zacapa</x:v>
      </x:c>
      <x:c r="C3000" t="str">
        <x:v>Hombre</x:v>
      </x:c>
      <x:c r="D3000" t="str">
        <x:v>k) 50 a 54 años</x:v>
      </x:c>
      <x:c r="E3000" s="1" t="n">
        <x:v>25</x:v>
      </x:c>
    </x:row>
    <x:row r="3001">
      <x:c r="A3001" t="str">
        <x:v>XOCHIMILCO</x:v>
      </x:c>
      <x:c r="B3001" t="str">
        <x:v>Paraje Zacapa</x:v>
      </x:c>
      <x:c r="C3001" t="str">
        <x:v>Hombre</x:v>
      </x:c>
      <x:c r="D3001" t="str">
        <x:v>l) 55 a 59 años</x:v>
      </x:c>
      <x:c r="E3001" s="1" t="n">
        <x:v>17</x:v>
      </x:c>
    </x:row>
    <x:row r="3002">
      <x:c r="A3002" t="str">
        <x:v>XOCHIMILCO</x:v>
      </x:c>
      <x:c r="B3002" t="str">
        <x:v>Paraje Zacapa</x:v>
      </x:c>
      <x:c r="C3002" t="str">
        <x:v>Hombre</x:v>
      </x:c>
      <x:c r="D3002" t="str">
        <x:v>m) 60 a 64 años</x:v>
      </x:c>
      <x:c r="E3002" s="1" t="n">
        <x:v>10</x:v>
      </x:c>
    </x:row>
    <x:row r="3003">
      <x:c r="A3003" t="str">
        <x:v>XOCHIMILCO</x:v>
      </x:c>
      <x:c r="B3003" t="str">
        <x:v>Paraje Zacapa</x:v>
      </x:c>
      <x:c r="C3003" t="str">
        <x:v>Hombre</x:v>
      </x:c>
      <x:c r="D3003" t="str">
        <x:v>n) 65 a 69 años</x:v>
      </x:c>
      <x:c r="E3003" s="1" t="n">
        <x:v>8</x:v>
      </x:c>
    </x:row>
    <x:row r="3004">
      <x:c r="A3004" t="str">
        <x:v>XOCHIMILCO</x:v>
      </x:c>
      <x:c r="B3004" t="str">
        <x:v>Paraje Zacapa</x:v>
      </x:c>
      <x:c r="C3004" t="str">
        <x:v>Hombre</x:v>
      </x:c>
      <x:c r="D3004" t="str">
        <x:v>o) 70 a 74 años</x:v>
      </x:c>
      <x:c r="E3004" s="1" t="n">
        <x:v>6</x:v>
      </x:c>
    </x:row>
    <x:row r="3005">
      <x:c r="A3005" t="str">
        <x:v>XOCHIMILCO</x:v>
      </x:c>
      <x:c r="B3005" t="str">
        <x:v>Paraje Zacapa</x:v>
      </x:c>
      <x:c r="C3005" t="str">
        <x:v>Hombre</x:v>
      </x:c>
      <x:c r="D3005" t="str">
        <x:v>p) 75 a 79 años</x:v>
      </x:c>
      <x:c r="E3005" s="1" t="n">
        <x:v>1</x:v>
      </x:c>
    </x:row>
    <x:row r="3006">
      <x:c r="A3006" t="str">
        <x:v>XOCHIMILCO</x:v>
      </x:c>
      <x:c r="B3006" t="str">
        <x:v>Paraje Zacapa</x:v>
      </x:c>
      <x:c r="C3006" t="str">
        <x:v>Hombre</x:v>
      </x:c>
      <x:c r="D3006" t="str">
        <x:v>q) 80 a 84 años</x:v>
      </x:c>
      <x:c r="E3006" s="1" t="n">
        <x:v>2</x:v>
      </x:c>
    </x:row>
    <x:row r="3007">
      <x:c r="A3007" t="str">
        <x:v>XOCHIMILCO</x:v>
      </x:c>
      <x:c r="B3007" t="str">
        <x:v>Paraje Zacapa</x:v>
      </x:c>
      <x:c r="C3007" t="str">
        <x:v>Hombre</x:v>
      </x:c>
      <x:c r="D3007" t="str">
        <x:v>r) 85 años y más</x:v>
      </x:c>
      <x:c r="E3007" s="1" t="n">
        <x:v>0</x:v>
      </x:c>
    </x:row>
    <x:row r="3008">
      <x:c r="A3008" t="str">
        <x:v>XOCHIMILCO</x:v>
      </x:c>
      <x:c r="B3008" t="str">
        <x:v>Paraje Zacapa</x:v>
      </x:c>
      <x:c r="C3008" t="str">
        <x:v>Mujer</x:v>
      </x:c>
      <x:c r="D3008" t="str">
        <x:v>a) 0 a 4 años</x:v>
      </x:c>
      <x:c r="E3008" s="1" t="n">
        <x:v>41</x:v>
      </x:c>
    </x:row>
    <x:row r="3009">
      <x:c r="A3009" t="str">
        <x:v>XOCHIMILCO</x:v>
      </x:c>
      <x:c r="B3009" t="str">
        <x:v>Paraje Zacapa</x:v>
      </x:c>
      <x:c r="C3009" t="str">
        <x:v>Mujer</x:v>
      </x:c>
      <x:c r="D3009" t="str">
        <x:v>b) 5 a 9 años</x:v>
      </x:c>
      <x:c r="E3009" s="1" t="n">
        <x:v>37</x:v>
      </x:c>
    </x:row>
    <x:row r="3010">
      <x:c r="A3010" t="str">
        <x:v>XOCHIMILCO</x:v>
      </x:c>
      <x:c r="B3010" t="str">
        <x:v>Paraje Zacapa</x:v>
      </x:c>
      <x:c r="C3010" t="str">
        <x:v>Mujer</x:v>
      </x:c>
      <x:c r="D3010" t="str">
        <x:v>c) 10 a 14 años</x:v>
      </x:c>
      <x:c r="E3010" s="1" t="n">
        <x:v>40</x:v>
      </x:c>
    </x:row>
    <x:row r="3011">
      <x:c r="A3011" t="str">
        <x:v>XOCHIMILCO</x:v>
      </x:c>
      <x:c r="B3011" t="str">
        <x:v>Paraje Zacapa</x:v>
      </x:c>
      <x:c r="C3011" t="str">
        <x:v>Mujer</x:v>
      </x:c>
      <x:c r="D3011" t="str">
        <x:v>d) 15 a 19 años</x:v>
      </x:c>
      <x:c r="E3011" s="1" t="n">
        <x:v>37</x:v>
      </x:c>
    </x:row>
    <x:row r="3012">
      <x:c r="A3012" t="str">
        <x:v>XOCHIMILCO</x:v>
      </x:c>
      <x:c r="B3012" t="str">
        <x:v>Paraje Zacapa</x:v>
      </x:c>
      <x:c r="C3012" t="str">
        <x:v>Mujer</x:v>
      </x:c>
      <x:c r="D3012" t="str">
        <x:v>e) 20 a 24 años</x:v>
      </x:c>
      <x:c r="E3012" s="1" t="n">
        <x:v>42</x:v>
      </x:c>
    </x:row>
    <x:row r="3013">
      <x:c r="A3013" t="str">
        <x:v>XOCHIMILCO</x:v>
      </x:c>
      <x:c r="B3013" t="str">
        <x:v>Paraje Zacapa</x:v>
      </x:c>
      <x:c r="C3013" t="str">
        <x:v>Mujer</x:v>
      </x:c>
      <x:c r="D3013" t="str">
        <x:v>f) 25 a 29 años</x:v>
      </x:c>
      <x:c r="E3013" s="1" t="n">
        <x:v>40</x:v>
      </x:c>
    </x:row>
    <x:row r="3014">
      <x:c r="A3014" t="str">
        <x:v>XOCHIMILCO</x:v>
      </x:c>
      <x:c r="B3014" t="str">
        <x:v>Paraje Zacapa</x:v>
      </x:c>
      <x:c r="C3014" t="str">
        <x:v>Mujer</x:v>
      </x:c>
      <x:c r="D3014" t="str">
        <x:v>g) 30 a 34 años</x:v>
      </x:c>
      <x:c r="E3014" s="1" t="n">
        <x:v>40</x:v>
      </x:c>
    </x:row>
    <x:row r="3015">
      <x:c r="A3015" t="str">
        <x:v>XOCHIMILCO</x:v>
      </x:c>
      <x:c r="B3015" t="str">
        <x:v>Paraje Zacapa</x:v>
      </x:c>
      <x:c r="C3015" t="str">
        <x:v>Mujer</x:v>
      </x:c>
      <x:c r="D3015" t="str">
        <x:v>h) 35 a 39 años</x:v>
      </x:c>
      <x:c r="E3015" s="1" t="n">
        <x:v>29</x:v>
      </x:c>
    </x:row>
    <x:row r="3016">
      <x:c r="A3016" t="str">
        <x:v>XOCHIMILCO</x:v>
      </x:c>
      <x:c r="B3016" t="str">
        <x:v>Paraje Zacapa</x:v>
      </x:c>
      <x:c r="C3016" t="str">
        <x:v>Mujer</x:v>
      </x:c>
      <x:c r="D3016" t="str">
        <x:v>i) 40 a 44 años</x:v>
      </x:c>
      <x:c r="E3016" s="1" t="n">
        <x:v>35</x:v>
      </x:c>
    </x:row>
    <x:row r="3017">
      <x:c r="A3017" t="str">
        <x:v>XOCHIMILCO</x:v>
      </x:c>
      <x:c r="B3017" t="str">
        <x:v>Paraje Zacapa</x:v>
      </x:c>
      <x:c r="C3017" t="str">
        <x:v>Mujer</x:v>
      </x:c>
      <x:c r="D3017" t="str">
        <x:v>j) 45 a 49 años</x:v>
      </x:c>
      <x:c r="E3017" s="1" t="n">
        <x:v>29</x:v>
      </x:c>
    </x:row>
    <x:row r="3018">
      <x:c r="A3018" t="str">
        <x:v>XOCHIMILCO</x:v>
      </x:c>
      <x:c r="B3018" t="str">
        <x:v>Paraje Zacapa</x:v>
      </x:c>
      <x:c r="C3018" t="str">
        <x:v>Mujer</x:v>
      </x:c>
      <x:c r="D3018" t="str">
        <x:v>k) 50 a 54 años</x:v>
      </x:c>
      <x:c r="E3018" s="1" t="n">
        <x:v>21</x:v>
      </x:c>
    </x:row>
    <x:row r="3019">
      <x:c r="A3019" t="str">
        <x:v>XOCHIMILCO</x:v>
      </x:c>
      <x:c r="B3019" t="str">
        <x:v>Paraje Zacapa</x:v>
      </x:c>
      <x:c r="C3019" t="str">
        <x:v>Mujer</x:v>
      </x:c>
      <x:c r="D3019" t="str">
        <x:v>l) 55 a 59 años</x:v>
      </x:c>
      <x:c r="E3019" s="1" t="n">
        <x:v>17</x:v>
      </x:c>
    </x:row>
    <x:row r="3020">
      <x:c r="A3020" t="str">
        <x:v>XOCHIMILCO</x:v>
      </x:c>
      <x:c r="B3020" t="str">
        <x:v>Paraje Zacapa</x:v>
      </x:c>
      <x:c r="C3020" t="str">
        <x:v>Mujer</x:v>
      </x:c>
      <x:c r="D3020" t="str">
        <x:v>m) 60 a 64 años</x:v>
      </x:c>
      <x:c r="E3020" s="1" t="n">
        <x:v>19</x:v>
      </x:c>
    </x:row>
    <x:row r="3021">
      <x:c r="A3021" t="str">
        <x:v>XOCHIMILCO</x:v>
      </x:c>
      <x:c r="B3021" t="str">
        <x:v>Paraje Zacapa</x:v>
      </x:c>
      <x:c r="C3021" t="str">
        <x:v>Mujer</x:v>
      </x:c>
      <x:c r="D3021" t="str">
        <x:v>n) 65 a 69 años</x:v>
      </x:c>
      <x:c r="E3021" s="1" t="n">
        <x:v>6</x:v>
      </x:c>
    </x:row>
    <x:row r="3022">
      <x:c r="A3022" t="str">
        <x:v>XOCHIMILCO</x:v>
      </x:c>
      <x:c r="B3022" t="str">
        <x:v>Paraje Zacapa</x:v>
      </x:c>
      <x:c r="C3022" t="str">
        <x:v>Mujer</x:v>
      </x:c>
      <x:c r="D3022" t="str">
        <x:v>o) 70 a 74 años</x:v>
      </x:c>
      <x:c r="E3022" s="1" t="n">
        <x:v>5</x:v>
      </x:c>
    </x:row>
    <x:row r="3023">
      <x:c r="A3023" t="str">
        <x:v>XOCHIMILCO</x:v>
      </x:c>
      <x:c r="B3023" t="str">
        <x:v>Paraje Zacapa</x:v>
      </x:c>
      <x:c r="C3023" t="str">
        <x:v>Mujer</x:v>
      </x:c>
      <x:c r="D3023" t="str">
        <x:v>p) 75 a 79 años</x:v>
      </x:c>
      <x:c r="E3023" s="1" t="n">
        <x:v>0</x:v>
      </x:c>
    </x:row>
    <x:row r="3024">
      <x:c r="A3024" t="str">
        <x:v>XOCHIMILCO</x:v>
      </x:c>
      <x:c r="B3024" t="str">
        <x:v>Paraje Zacapa</x:v>
      </x:c>
      <x:c r="C3024" t="str">
        <x:v>Mujer</x:v>
      </x:c>
      <x:c r="D3024" t="str">
        <x:v>q) 80 a 84 años</x:v>
      </x:c>
      <x:c r="E3024" s="1" t="n">
        <x:v>1</x:v>
      </x:c>
    </x:row>
    <x:row r="3025">
      <x:c r="A3025" t="str">
        <x:v>XOCHIMILCO</x:v>
      </x:c>
      <x:c r="B3025" t="str">
        <x:v>Paraje Zacapa</x:v>
      </x:c>
      <x:c r="C3025" t="str">
        <x:v>Mujer</x:v>
      </x:c>
      <x:c r="D3025" t="str">
        <x:v>r) 85 años y más</x:v>
      </x:c>
      <x:c r="E3025" s="1" t="n">
        <x:v>0</x:v>
      </x:c>
    </x:row>
    <x:row r="3026">
      <x:c r="A3026" t="str">
        <x:v>XOCHIMILCO</x:v>
      </x:c>
      <x:c r="B3026" t="str">
        <x:v>Tecanco</x:v>
      </x:c>
      <x:c r="C3026" t="str">
        <x:v>Hombre</x:v>
      </x:c>
      <x:c r="D3026" t="str">
        <x:v>a) 0 a 4 años</x:v>
      </x:c>
      <x:c r="E3026" s="1" t="n">
        <x:v>12</x:v>
      </x:c>
    </x:row>
    <x:row r="3027">
      <x:c r="A3027" t="str">
        <x:v>XOCHIMILCO</x:v>
      </x:c>
      <x:c r="B3027" t="str">
        <x:v>Tecanco</x:v>
      </x:c>
      <x:c r="C3027" t="str">
        <x:v>Hombre</x:v>
      </x:c>
      <x:c r="D3027" t="str">
        <x:v>b) 5 a 9 años</x:v>
      </x:c>
      <x:c r="E3027" s="1" t="n">
        <x:v>10</x:v>
      </x:c>
    </x:row>
    <x:row r="3028">
      <x:c r="A3028" t="str">
        <x:v>XOCHIMILCO</x:v>
      </x:c>
      <x:c r="B3028" t="str">
        <x:v>Tecanco</x:v>
      </x:c>
      <x:c r="C3028" t="str">
        <x:v>Hombre</x:v>
      </x:c>
      <x:c r="D3028" t="str">
        <x:v>c) 10 a 14 años</x:v>
      </x:c>
      <x:c r="E3028" s="1" t="n">
        <x:v>22</x:v>
      </x:c>
    </x:row>
    <x:row r="3029">
      <x:c r="A3029" t="str">
        <x:v>XOCHIMILCO</x:v>
      </x:c>
      <x:c r="B3029" t="str">
        <x:v>Tecanco</x:v>
      </x:c>
      <x:c r="C3029" t="str">
        <x:v>Hombre</x:v>
      </x:c>
      <x:c r="D3029" t="str">
        <x:v>d) 15 a 19 años</x:v>
      </x:c>
      <x:c r="E3029" s="1" t="n">
        <x:v>11</x:v>
      </x:c>
    </x:row>
    <x:row r="3030">
      <x:c r="A3030" t="str">
        <x:v>XOCHIMILCO</x:v>
      </x:c>
      <x:c r="B3030" t="str">
        <x:v>Tecanco</x:v>
      </x:c>
      <x:c r="C3030" t="str">
        <x:v>Hombre</x:v>
      </x:c>
      <x:c r="D3030" t="str">
        <x:v>e) 20 a 24 años</x:v>
      </x:c>
      <x:c r="E3030" s="1" t="n">
        <x:v>20</x:v>
      </x:c>
    </x:row>
    <x:row r="3031">
      <x:c r="A3031" t="str">
        <x:v>XOCHIMILCO</x:v>
      </x:c>
      <x:c r="B3031" t="str">
        <x:v>Tecanco</x:v>
      </x:c>
      <x:c r="C3031" t="str">
        <x:v>Hombre</x:v>
      </x:c>
      <x:c r="D3031" t="str">
        <x:v>f) 25 a 29 años</x:v>
      </x:c>
      <x:c r="E3031" s="1" t="n">
        <x:v>13</x:v>
      </x:c>
    </x:row>
    <x:row r="3032">
      <x:c r="A3032" t="str">
        <x:v>XOCHIMILCO</x:v>
      </x:c>
      <x:c r="B3032" t="str">
        <x:v>Tecanco</x:v>
      </x:c>
      <x:c r="C3032" t="str">
        <x:v>Hombre</x:v>
      </x:c>
      <x:c r="D3032" t="str">
        <x:v>g) 30 a 34 años</x:v>
      </x:c>
      <x:c r="E3032" s="1" t="n">
        <x:v>9</x:v>
      </x:c>
    </x:row>
    <x:row r="3033">
      <x:c r="A3033" t="str">
        <x:v>XOCHIMILCO</x:v>
      </x:c>
      <x:c r="B3033" t="str">
        <x:v>Tecanco</x:v>
      </x:c>
      <x:c r="C3033" t="str">
        <x:v>Hombre</x:v>
      </x:c>
      <x:c r="D3033" t="str">
        <x:v>h) 35 a 39 años</x:v>
      </x:c>
      <x:c r="E3033" s="1" t="n">
        <x:v>11</x:v>
      </x:c>
    </x:row>
    <x:row r="3034">
      <x:c r="A3034" t="str">
        <x:v>XOCHIMILCO</x:v>
      </x:c>
      <x:c r="B3034" t="str">
        <x:v>Tecanco</x:v>
      </x:c>
      <x:c r="C3034" t="str">
        <x:v>Hombre</x:v>
      </x:c>
      <x:c r="D3034" t="str">
        <x:v>i) 40 a 44 años</x:v>
      </x:c>
      <x:c r="E3034" s="1" t="n">
        <x:v>23</x:v>
      </x:c>
    </x:row>
    <x:row r="3035">
      <x:c r="A3035" t="str">
        <x:v>XOCHIMILCO</x:v>
      </x:c>
      <x:c r="B3035" t="str">
        <x:v>Tecanco</x:v>
      </x:c>
      <x:c r="C3035" t="str">
        <x:v>Hombre</x:v>
      </x:c>
      <x:c r="D3035" t="str">
        <x:v>j) 45 a 49 años</x:v>
      </x:c>
      <x:c r="E3035" s="1" t="n">
        <x:v>12</x:v>
      </x:c>
    </x:row>
    <x:row r="3036">
      <x:c r="A3036" t="str">
        <x:v>XOCHIMILCO</x:v>
      </x:c>
      <x:c r="B3036" t="str">
        <x:v>Tecanco</x:v>
      </x:c>
      <x:c r="C3036" t="str">
        <x:v>Hombre</x:v>
      </x:c>
      <x:c r="D3036" t="str">
        <x:v>k) 50 a 54 años</x:v>
      </x:c>
      <x:c r="E3036" s="1" t="n">
        <x:v>9</x:v>
      </x:c>
    </x:row>
    <x:row r="3037">
      <x:c r="A3037" t="str">
        <x:v>XOCHIMILCO</x:v>
      </x:c>
      <x:c r="B3037" t="str">
        <x:v>Tecanco</x:v>
      </x:c>
      <x:c r="C3037" t="str">
        <x:v>Hombre</x:v>
      </x:c>
      <x:c r="D3037" t="str">
        <x:v>l) 55 a 59 años</x:v>
      </x:c>
      <x:c r="E3037" s="1" t="n">
        <x:v>7</x:v>
      </x:c>
    </x:row>
    <x:row r="3038">
      <x:c r="A3038" t="str">
        <x:v>XOCHIMILCO</x:v>
      </x:c>
      <x:c r="B3038" t="str">
        <x:v>Tecanco</x:v>
      </x:c>
      <x:c r="C3038" t="str">
        <x:v>Hombre</x:v>
      </x:c>
      <x:c r="D3038" t="str">
        <x:v>m) 60 a 64 años</x:v>
      </x:c>
      <x:c r="E3038" s="1" t="n">
        <x:v>5</x:v>
      </x:c>
    </x:row>
    <x:row r="3039">
      <x:c r="A3039" t="str">
        <x:v>XOCHIMILCO</x:v>
      </x:c>
      <x:c r="B3039" t="str">
        <x:v>Tecanco</x:v>
      </x:c>
      <x:c r="C3039" t="str">
        <x:v>Hombre</x:v>
      </x:c>
      <x:c r="D3039" t="str">
        <x:v>n) 65 a 69 años</x:v>
      </x:c>
      <x:c r="E3039" s="1" t="n">
        <x:v>2</x:v>
      </x:c>
    </x:row>
    <x:row r="3040">
      <x:c r="A3040" t="str">
        <x:v>XOCHIMILCO</x:v>
      </x:c>
      <x:c r="B3040" t="str">
        <x:v>Tecanco</x:v>
      </x:c>
      <x:c r="C3040" t="str">
        <x:v>Hombre</x:v>
      </x:c>
      <x:c r="D3040" t="str">
        <x:v>o) 70 a 74 años</x:v>
      </x:c>
      <x:c r="E3040" s="1" t="n">
        <x:v>0</x:v>
      </x:c>
    </x:row>
    <x:row r="3041">
      <x:c r="A3041" t="str">
        <x:v>XOCHIMILCO</x:v>
      </x:c>
      <x:c r="B3041" t="str">
        <x:v>Tecanco</x:v>
      </x:c>
      <x:c r="C3041" t="str">
        <x:v>Hombre</x:v>
      </x:c>
      <x:c r="D3041" t="str">
        <x:v>p) 75 a 79 años</x:v>
      </x:c>
      <x:c r="E3041" s="1" t="n">
        <x:v>0</x:v>
      </x:c>
    </x:row>
    <x:row r="3042">
      <x:c r="A3042" t="str">
        <x:v>XOCHIMILCO</x:v>
      </x:c>
      <x:c r="B3042" t="str">
        <x:v>Tecanco</x:v>
      </x:c>
      <x:c r="C3042" t="str">
        <x:v>Hombre</x:v>
      </x:c>
      <x:c r="D3042" t="str">
        <x:v>q) 80 a 84 años</x:v>
      </x:c>
      <x:c r="E3042" s="1" t="n">
        <x:v>1</x:v>
      </x:c>
    </x:row>
    <x:row r="3043">
      <x:c r="A3043" t="str">
        <x:v>XOCHIMILCO</x:v>
      </x:c>
      <x:c r="B3043" t="str">
        <x:v>Tecanco</x:v>
      </x:c>
      <x:c r="C3043" t="str">
        <x:v>Hombre</x:v>
      </x:c>
      <x:c r="D3043" t="str">
        <x:v>r) 85 años y más</x:v>
      </x:c>
      <x:c r="E3043" s="1" t="n">
        <x:v>0</x:v>
      </x:c>
    </x:row>
    <x:row r="3044">
      <x:c r="A3044" t="str">
        <x:v>XOCHIMILCO</x:v>
      </x:c>
      <x:c r="B3044" t="str">
        <x:v>Tecanco</x:v>
      </x:c>
      <x:c r="C3044" t="str">
        <x:v>Mujer</x:v>
      </x:c>
      <x:c r="D3044" t="str">
        <x:v>a) 0 a 4 años</x:v>
      </x:c>
      <x:c r="E3044" s="1" t="n">
        <x:v>18</x:v>
      </x:c>
    </x:row>
    <x:row r="3045">
      <x:c r="A3045" t="str">
        <x:v>XOCHIMILCO</x:v>
      </x:c>
      <x:c r="B3045" t="str">
        <x:v>Tecanco</x:v>
      </x:c>
      <x:c r="C3045" t="str">
        <x:v>Mujer</x:v>
      </x:c>
      <x:c r="D3045" t="str">
        <x:v>b) 5 a 9 años</x:v>
      </x:c>
      <x:c r="E3045" s="1" t="n">
        <x:v>16</x:v>
      </x:c>
    </x:row>
    <x:row r="3046">
      <x:c r="A3046" t="str">
        <x:v>XOCHIMILCO</x:v>
      </x:c>
      <x:c r="B3046" t="str">
        <x:v>Tecanco</x:v>
      </x:c>
      <x:c r="C3046" t="str">
        <x:v>Mujer</x:v>
      </x:c>
      <x:c r="D3046" t="str">
        <x:v>c) 10 a 14 años</x:v>
      </x:c>
      <x:c r="E3046" s="1" t="n">
        <x:v>22</x:v>
      </x:c>
    </x:row>
    <x:row r="3047">
      <x:c r="A3047" t="str">
        <x:v>XOCHIMILCO</x:v>
      </x:c>
      <x:c r="B3047" t="str">
        <x:v>Tecanco</x:v>
      </x:c>
      <x:c r="C3047" t="str">
        <x:v>Mujer</x:v>
      </x:c>
      <x:c r="D3047" t="str">
        <x:v>d) 15 a 19 años</x:v>
      </x:c>
      <x:c r="E3047" s="1" t="n">
        <x:v>15</x:v>
      </x:c>
    </x:row>
    <x:row r="3048">
      <x:c r="A3048" t="str">
        <x:v>XOCHIMILCO</x:v>
      </x:c>
      <x:c r="B3048" t="str">
        <x:v>Tecanco</x:v>
      </x:c>
      <x:c r="C3048" t="str">
        <x:v>Mujer</x:v>
      </x:c>
      <x:c r="D3048" t="str">
        <x:v>e) 20 a 24 años</x:v>
      </x:c>
      <x:c r="E3048" s="1" t="n">
        <x:v>17</x:v>
      </x:c>
    </x:row>
    <x:row r="3049">
      <x:c r="A3049" t="str">
        <x:v>XOCHIMILCO</x:v>
      </x:c>
      <x:c r="B3049" t="str">
        <x:v>Tecanco</x:v>
      </x:c>
      <x:c r="C3049" t="str">
        <x:v>Mujer</x:v>
      </x:c>
      <x:c r="D3049" t="str">
        <x:v>f) 25 a 29 años</x:v>
      </x:c>
      <x:c r="E3049" s="1" t="n">
        <x:v>10</x:v>
      </x:c>
    </x:row>
    <x:row r="3050">
      <x:c r="A3050" t="str">
        <x:v>XOCHIMILCO</x:v>
      </x:c>
      <x:c r="B3050" t="str">
        <x:v>Tecanco</x:v>
      </x:c>
      <x:c r="C3050" t="str">
        <x:v>Mujer</x:v>
      </x:c>
      <x:c r="D3050" t="str">
        <x:v>g) 30 a 34 años</x:v>
      </x:c>
      <x:c r="E3050" s="1" t="n">
        <x:v>10</x:v>
      </x:c>
    </x:row>
    <x:row r="3051">
      <x:c r="A3051" t="str">
        <x:v>XOCHIMILCO</x:v>
      </x:c>
      <x:c r="B3051" t="str">
        <x:v>Tecanco</x:v>
      </x:c>
      <x:c r="C3051" t="str">
        <x:v>Mujer</x:v>
      </x:c>
      <x:c r="D3051" t="str">
        <x:v>h) 35 a 39 años</x:v>
      </x:c>
      <x:c r="E3051" s="1" t="n">
        <x:v>19</x:v>
      </x:c>
    </x:row>
    <x:row r="3052">
      <x:c r="A3052" t="str">
        <x:v>XOCHIMILCO</x:v>
      </x:c>
      <x:c r="B3052" t="str">
        <x:v>Tecanco</x:v>
      </x:c>
      <x:c r="C3052" t="str">
        <x:v>Mujer</x:v>
      </x:c>
      <x:c r="D3052" t="str">
        <x:v>i) 40 a 44 años</x:v>
      </x:c>
      <x:c r="E3052" s="1" t="n">
        <x:v>17</x:v>
      </x:c>
    </x:row>
    <x:row r="3053">
      <x:c r="A3053" t="str">
        <x:v>XOCHIMILCO</x:v>
      </x:c>
      <x:c r="B3053" t="str">
        <x:v>Tecanco</x:v>
      </x:c>
      <x:c r="C3053" t="str">
        <x:v>Mujer</x:v>
      </x:c>
      <x:c r="D3053" t="str">
        <x:v>j) 45 a 49 años</x:v>
      </x:c>
      <x:c r="E3053" s="1" t="n">
        <x:v>12</x:v>
      </x:c>
    </x:row>
    <x:row r="3054">
      <x:c r="A3054" t="str">
        <x:v>XOCHIMILCO</x:v>
      </x:c>
      <x:c r="B3054" t="str">
        <x:v>Tecanco</x:v>
      </x:c>
      <x:c r="C3054" t="str">
        <x:v>Mujer</x:v>
      </x:c>
      <x:c r="D3054" t="str">
        <x:v>k) 50 a 54 años</x:v>
      </x:c>
      <x:c r="E3054" s="1" t="n">
        <x:v>8</x:v>
      </x:c>
    </x:row>
    <x:row r="3055">
      <x:c r="A3055" t="str">
        <x:v>XOCHIMILCO</x:v>
      </x:c>
      <x:c r="B3055" t="str">
        <x:v>Tecanco</x:v>
      </x:c>
      <x:c r="C3055" t="str">
        <x:v>Mujer</x:v>
      </x:c>
      <x:c r="D3055" t="str">
        <x:v>l) 55 a 59 años</x:v>
      </x:c>
      <x:c r="E3055" s="1" t="n">
        <x:v>10</x:v>
      </x:c>
    </x:row>
    <x:row r="3056">
      <x:c r="A3056" t="str">
        <x:v>XOCHIMILCO</x:v>
      </x:c>
      <x:c r="B3056" t="str">
        <x:v>Tecanco</x:v>
      </x:c>
      <x:c r="C3056" t="str">
        <x:v>Mujer</x:v>
      </x:c>
      <x:c r="D3056" t="str">
        <x:v>m) 60 a 64 años</x:v>
      </x:c>
      <x:c r="E3056" s="1" t="n">
        <x:v>5</x:v>
      </x:c>
    </x:row>
    <x:row r="3057">
      <x:c r="A3057" t="str">
        <x:v>XOCHIMILCO</x:v>
      </x:c>
      <x:c r="B3057" t="str">
        <x:v>Tecanco</x:v>
      </x:c>
      <x:c r="C3057" t="str">
        <x:v>Mujer</x:v>
      </x:c>
      <x:c r="D3057" t="str">
        <x:v>n) 65 a 69 años</x:v>
      </x:c>
      <x:c r="E3057" s="1" t="n">
        <x:v>5</x:v>
      </x:c>
    </x:row>
    <x:row r="3058">
      <x:c r="A3058" t="str">
        <x:v>XOCHIMILCO</x:v>
      </x:c>
      <x:c r="B3058" t="str">
        <x:v>Tecanco</x:v>
      </x:c>
      <x:c r="C3058" t="str">
        <x:v>Mujer</x:v>
      </x:c>
      <x:c r="D3058" t="str">
        <x:v>o) 70 a 74 años</x:v>
      </x:c>
      <x:c r="E3058" s="1" t="n">
        <x:v>2</x:v>
      </x:c>
    </x:row>
    <x:row r="3059">
      <x:c r="A3059" t="str">
        <x:v>XOCHIMILCO</x:v>
      </x:c>
      <x:c r="B3059" t="str">
        <x:v>Tecanco</x:v>
      </x:c>
      <x:c r="C3059" t="str">
        <x:v>Mujer</x:v>
      </x:c>
      <x:c r="D3059" t="str">
        <x:v>p) 75 a 79 años</x:v>
      </x:c>
      <x:c r="E3059" s="1" t="n">
        <x:v>2</x:v>
      </x:c>
    </x:row>
    <x:row r="3060">
      <x:c r="A3060" t="str">
        <x:v>XOCHIMILCO</x:v>
      </x:c>
      <x:c r="B3060" t="str">
        <x:v>Tecanco</x:v>
      </x:c>
      <x:c r="C3060" t="str">
        <x:v>Mujer</x:v>
      </x:c>
      <x:c r="D3060" t="str">
        <x:v>q) 80 a 84 años</x:v>
      </x:c>
      <x:c r="E3060" s="1" t="n">
        <x:v>0</x:v>
      </x:c>
    </x:row>
    <x:row r="3061">
      <x:c r="A3061" t="str">
        <x:v>XOCHIMILCO</x:v>
      </x:c>
      <x:c r="B3061" t="str">
        <x:v>Tecanco</x:v>
      </x:c>
      <x:c r="C3061" t="str">
        <x:v>Mujer</x:v>
      </x:c>
      <x:c r="D3061" t="str">
        <x:v>r) 85 años y más</x:v>
      </x:c>
      <x:c r="E3061" s="1" t="n">
        <x:v>0</x:v>
      </x:c>
    </x:row>
    <x:row r="3062">
      <x:c r="A3062" t="str">
        <x:v>XOCHIMILCO</x:v>
      </x:c>
      <x:c r="B3062" t="str">
        <x:v>Barrio Nochicala</x:v>
      </x:c>
      <x:c r="C3062" t="str">
        <x:v>Hombre</x:v>
      </x:c>
      <x:c r="D3062" t="str">
        <x:v>a) 0 a 4 años</x:v>
      </x:c>
      <x:c r="E3062" s="1" t="n">
        <x:v>3</x:v>
      </x:c>
    </x:row>
    <x:row r="3063">
      <x:c r="A3063" t="str">
        <x:v>XOCHIMILCO</x:v>
      </x:c>
      <x:c r="B3063" t="str">
        <x:v>Barrio Nochicala</x:v>
      </x:c>
      <x:c r="C3063" t="str">
        <x:v>Hombre</x:v>
      </x:c>
      <x:c r="D3063" t="str">
        <x:v>b) 5 a 9 años</x:v>
      </x:c>
      <x:c r="E3063" s="1" t="n">
        <x:v>2</x:v>
      </x:c>
    </x:row>
    <x:row r="3064">
      <x:c r="A3064" t="str">
        <x:v>XOCHIMILCO</x:v>
      </x:c>
      <x:c r="B3064" t="str">
        <x:v>Barrio Nochicala</x:v>
      </x:c>
      <x:c r="C3064" t="str">
        <x:v>Hombre</x:v>
      </x:c>
      <x:c r="D3064" t="str">
        <x:v>c) 10 a 14 años</x:v>
      </x:c>
      <x:c r="E3064" s="1" t="n">
        <x:v>0</x:v>
      </x:c>
    </x:row>
    <x:row r="3065">
      <x:c r="A3065" t="str">
        <x:v>XOCHIMILCO</x:v>
      </x:c>
      <x:c r="B3065" t="str">
        <x:v>Barrio Nochicala</x:v>
      </x:c>
      <x:c r="C3065" t="str">
        <x:v>Hombre</x:v>
      </x:c>
      <x:c r="D3065" t="str">
        <x:v>d) 15 a 19 años</x:v>
      </x:c>
      <x:c r="E3065" s="1" t="n">
        <x:v>3</x:v>
      </x:c>
    </x:row>
    <x:row r="3066">
      <x:c r="A3066" t="str">
        <x:v>XOCHIMILCO</x:v>
      </x:c>
      <x:c r="B3066" t="str">
        <x:v>Barrio Nochicala</x:v>
      </x:c>
      <x:c r="C3066" t="str">
        <x:v>Hombre</x:v>
      </x:c>
      <x:c r="D3066" t="str">
        <x:v>e) 20 a 24 años</x:v>
      </x:c>
      <x:c r="E3066" s="1" t="n">
        <x:v>7</x:v>
      </x:c>
    </x:row>
    <x:row r="3067">
      <x:c r="A3067" t="str">
        <x:v>XOCHIMILCO</x:v>
      </x:c>
      <x:c r="B3067" t="str">
        <x:v>Barrio Nochicala</x:v>
      </x:c>
      <x:c r="C3067" t="str">
        <x:v>Hombre</x:v>
      </x:c>
      <x:c r="D3067" t="str">
        <x:v>f) 25 a 29 años</x:v>
      </x:c>
      <x:c r="E3067" s="1" t="n">
        <x:v>13</x:v>
      </x:c>
    </x:row>
    <x:row r="3068">
      <x:c r="A3068" t="str">
        <x:v>XOCHIMILCO</x:v>
      </x:c>
      <x:c r="B3068" t="str">
        <x:v>Barrio Nochicala</x:v>
      </x:c>
      <x:c r="C3068" t="str">
        <x:v>Hombre</x:v>
      </x:c>
      <x:c r="D3068" t="str">
        <x:v>g) 30 a 34 años</x:v>
      </x:c>
      <x:c r="E3068" s="1" t="n">
        <x:v>7</x:v>
      </x:c>
    </x:row>
    <x:row r="3069">
      <x:c r="A3069" t="str">
        <x:v>XOCHIMILCO</x:v>
      </x:c>
      <x:c r="B3069" t="str">
        <x:v>Barrio Nochicala</x:v>
      </x:c>
      <x:c r="C3069" t="str">
        <x:v>Hombre</x:v>
      </x:c>
      <x:c r="D3069" t="str">
        <x:v>h) 35 a 39 años</x:v>
      </x:c>
      <x:c r="E3069" s="1" t="n">
        <x:v>12</x:v>
      </x:c>
    </x:row>
    <x:row r="3070">
      <x:c r="A3070" t="str">
        <x:v>XOCHIMILCO</x:v>
      </x:c>
      <x:c r="B3070" t="str">
        <x:v>Barrio Nochicala</x:v>
      </x:c>
      <x:c r="C3070" t="str">
        <x:v>Hombre</x:v>
      </x:c>
      <x:c r="D3070" t="str">
        <x:v>i) 40 a 44 años</x:v>
      </x:c>
      <x:c r="E3070" s="1" t="n">
        <x:v>7</x:v>
      </x:c>
    </x:row>
    <x:row r="3071">
      <x:c r="A3071" t="str">
        <x:v>XOCHIMILCO</x:v>
      </x:c>
      <x:c r="B3071" t="str">
        <x:v>Barrio Nochicala</x:v>
      </x:c>
      <x:c r="C3071" t="str">
        <x:v>Hombre</x:v>
      </x:c>
      <x:c r="D3071" t="str">
        <x:v>j) 45 a 49 años</x:v>
      </x:c>
      <x:c r="E3071" s="1" t="n">
        <x:v>9</x:v>
      </x:c>
    </x:row>
    <x:row r="3072">
      <x:c r="A3072" t="str">
        <x:v>XOCHIMILCO</x:v>
      </x:c>
      <x:c r="B3072" t="str">
        <x:v>Barrio Nochicala</x:v>
      </x:c>
      <x:c r="C3072" t="str">
        <x:v>Hombre</x:v>
      </x:c>
      <x:c r="D3072" t="str">
        <x:v>k) 50 a 54 años</x:v>
      </x:c>
      <x:c r="E3072" s="1" t="n">
        <x:v>5</x:v>
      </x:c>
    </x:row>
    <x:row r="3073">
      <x:c r="A3073" t="str">
        <x:v>XOCHIMILCO</x:v>
      </x:c>
      <x:c r="B3073" t="str">
        <x:v>Barrio Nochicala</x:v>
      </x:c>
      <x:c r="C3073" t="str">
        <x:v>Hombre</x:v>
      </x:c>
      <x:c r="D3073" t="str">
        <x:v>l) 55 a 59 años</x:v>
      </x:c>
      <x:c r="E3073" s="1" t="n">
        <x:v>4</x:v>
      </x:c>
    </x:row>
    <x:row r="3074">
      <x:c r="A3074" t="str">
        <x:v>XOCHIMILCO</x:v>
      </x:c>
      <x:c r="B3074" t="str">
        <x:v>Barrio Nochicala</x:v>
      </x:c>
      <x:c r="C3074" t="str">
        <x:v>Hombre</x:v>
      </x:c>
      <x:c r="D3074" t="str">
        <x:v>m) 60 a 64 años</x:v>
      </x:c>
      <x:c r="E3074" s="1" t="n">
        <x:v>3</x:v>
      </x:c>
    </x:row>
    <x:row r="3075">
      <x:c r="A3075" t="str">
        <x:v>XOCHIMILCO</x:v>
      </x:c>
      <x:c r="B3075" t="str">
        <x:v>Barrio Nochicala</x:v>
      </x:c>
      <x:c r="C3075" t="str">
        <x:v>Hombre</x:v>
      </x:c>
      <x:c r="D3075" t="str">
        <x:v>n) 65 a 69 años</x:v>
      </x:c>
      <x:c r="E3075" s="1" t="n">
        <x:v>3</x:v>
      </x:c>
    </x:row>
    <x:row r="3076">
      <x:c r="A3076" t="str">
        <x:v>XOCHIMILCO</x:v>
      </x:c>
      <x:c r="B3076" t="str">
        <x:v>Barrio Nochicala</x:v>
      </x:c>
      <x:c r="C3076" t="str">
        <x:v>Hombre</x:v>
      </x:c>
      <x:c r="D3076" t="str">
        <x:v>o) 70 a 74 años</x:v>
      </x:c>
      <x:c r="E3076" s="1" t="n">
        <x:v>3</x:v>
      </x:c>
    </x:row>
    <x:row r="3077">
      <x:c r="A3077" t="str">
        <x:v>XOCHIMILCO</x:v>
      </x:c>
      <x:c r="B3077" t="str">
        <x:v>Barrio Nochicala</x:v>
      </x:c>
      <x:c r="C3077" t="str">
        <x:v>Hombre</x:v>
      </x:c>
      <x:c r="D3077" t="str">
        <x:v>p) 75 a 79 años</x:v>
      </x:c>
      <x:c r="E3077" s="1" t="n">
        <x:v>1</x:v>
      </x:c>
    </x:row>
    <x:row r="3078">
      <x:c r="A3078" t="str">
        <x:v>XOCHIMILCO</x:v>
      </x:c>
      <x:c r="B3078" t="str">
        <x:v>Barrio Nochicala</x:v>
      </x:c>
      <x:c r="C3078" t="str">
        <x:v>Hombre</x:v>
      </x:c>
      <x:c r="D3078" t="str">
        <x:v>q) 80 a 84 años</x:v>
      </x:c>
      <x:c r="E3078" s="1" t="n">
        <x:v>0</x:v>
      </x:c>
    </x:row>
    <x:row r="3079">
      <x:c r="A3079" t="str">
        <x:v>XOCHIMILCO</x:v>
      </x:c>
      <x:c r="B3079" t="str">
        <x:v>Barrio Nochicala</x:v>
      </x:c>
      <x:c r="C3079" t="str">
        <x:v>Hombre</x:v>
      </x:c>
      <x:c r="D3079" t="str">
        <x:v>r) 85 años y más</x:v>
      </x:c>
      <x:c r="E3079" s="1" t="n">
        <x:v>0</x:v>
      </x:c>
    </x:row>
    <x:row r="3080">
      <x:c r="A3080" t="str">
        <x:v>XOCHIMILCO</x:v>
      </x:c>
      <x:c r="B3080" t="str">
        <x:v>Barrio Nochicala</x:v>
      </x:c>
      <x:c r="C3080" t="str">
        <x:v>Mujer</x:v>
      </x:c>
      <x:c r="D3080" t="str">
        <x:v>a) 0 a 4 años</x:v>
      </x:c>
      <x:c r="E3080" s="1" t="n">
        <x:v>5</x:v>
      </x:c>
    </x:row>
    <x:row r="3081">
      <x:c r="A3081" t="str">
        <x:v>XOCHIMILCO</x:v>
      </x:c>
      <x:c r="B3081" t="str">
        <x:v>Barrio Nochicala</x:v>
      </x:c>
      <x:c r="C3081" t="str">
        <x:v>Mujer</x:v>
      </x:c>
      <x:c r="D3081" t="str">
        <x:v>b) 5 a 9 años</x:v>
      </x:c>
      <x:c r="E3081" s="1" t="n">
        <x:v>3</x:v>
      </x:c>
    </x:row>
    <x:row r="3082">
      <x:c r="A3082" t="str">
        <x:v>XOCHIMILCO</x:v>
      </x:c>
      <x:c r="B3082" t="str">
        <x:v>Barrio Nochicala</x:v>
      </x:c>
      <x:c r="C3082" t="str">
        <x:v>Mujer</x:v>
      </x:c>
      <x:c r="D3082" t="str">
        <x:v>c) 10 a 14 años</x:v>
      </x:c>
      <x:c r="E3082" s="1" t="n">
        <x:v>4</x:v>
      </x:c>
    </x:row>
    <x:row r="3083">
      <x:c r="A3083" t="str">
        <x:v>XOCHIMILCO</x:v>
      </x:c>
      <x:c r="B3083" t="str">
        <x:v>Barrio Nochicala</x:v>
      </x:c>
      <x:c r="C3083" t="str">
        <x:v>Mujer</x:v>
      </x:c>
      <x:c r="D3083" t="str">
        <x:v>d) 15 a 19 años</x:v>
      </x:c>
      <x:c r="E3083" s="1" t="n">
        <x:v>0</x:v>
      </x:c>
    </x:row>
    <x:row r="3084">
      <x:c r="A3084" t="str">
        <x:v>XOCHIMILCO</x:v>
      </x:c>
      <x:c r="B3084" t="str">
        <x:v>Barrio Nochicala</x:v>
      </x:c>
      <x:c r="C3084" t="str">
        <x:v>Mujer</x:v>
      </x:c>
      <x:c r="D3084" t="str">
        <x:v>e) 20 a 24 años</x:v>
      </x:c>
      <x:c r="E3084" s="1" t="n">
        <x:v>8</x:v>
      </x:c>
    </x:row>
    <x:row r="3085">
      <x:c r="A3085" t="str">
        <x:v>XOCHIMILCO</x:v>
      </x:c>
      <x:c r="B3085" t="str">
        <x:v>Barrio Nochicala</x:v>
      </x:c>
      <x:c r="C3085" t="str">
        <x:v>Mujer</x:v>
      </x:c>
      <x:c r="D3085" t="str">
        <x:v>f) 25 a 29 años</x:v>
      </x:c>
      <x:c r="E3085" s="1" t="n">
        <x:v>14</x:v>
      </x:c>
    </x:row>
    <x:row r="3086">
      <x:c r="A3086" t="str">
        <x:v>XOCHIMILCO</x:v>
      </x:c>
      <x:c r="B3086" t="str">
        <x:v>Barrio Nochicala</x:v>
      </x:c>
      <x:c r="C3086" t="str">
        <x:v>Mujer</x:v>
      </x:c>
      <x:c r="D3086" t="str">
        <x:v>g) 30 a 34 años</x:v>
      </x:c>
      <x:c r="E3086" s="1" t="n">
        <x:v>11</x:v>
      </x:c>
    </x:row>
    <x:row r="3087">
      <x:c r="A3087" t="str">
        <x:v>XOCHIMILCO</x:v>
      </x:c>
      <x:c r="B3087" t="str">
        <x:v>Barrio Nochicala</x:v>
      </x:c>
      <x:c r="C3087" t="str">
        <x:v>Mujer</x:v>
      </x:c>
      <x:c r="D3087" t="str">
        <x:v>h) 35 a 39 años</x:v>
      </x:c>
      <x:c r="E3087" s="1" t="n">
        <x:v>6</x:v>
      </x:c>
    </x:row>
    <x:row r="3088">
      <x:c r="A3088" t="str">
        <x:v>XOCHIMILCO</x:v>
      </x:c>
      <x:c r="B3088" t="str">
        <x:v>Barrio Nochicala</x:v>
      </x:c>
      <x:c r="C3088" t="str">
        <x:v>Mujer</x:v>
      </x:c>
      <x:c r="D3088" t="str">
        <x:v>i) 40 a 44 años</x:v>
      </x:c>
      <x:c r="E3088" s="1" t="n">
        <x:v>10</x:v>
      </x:c>
    </x:row>
    <x:row r="3089">
      <x:c r="A3089" t="str">
        <x:v>XOCHIMILCO</x:v>
      </x:c>
      <x:c r="B3089" t="str">
        <x:v>Barrio Nochicala</x:v>
      </x:c>
      <x:c r="C3089" t="str">
        <x:v>Mujer</x:v>
      </x:c>
      <x:c r="D3089" t="str">
        <x:v>j) 45 a 49 años</x:v>
      </x:c>
      <x:c r="E3089" s="1" t="n">
        <x:v>15</x:v>
      </x:c>
    </x:row>
    <x:row r="3090">
      <x:c r="A3090" t="str">
        <x:v>XOCHIMILCO</x:v>
      </x:c>
      <x:c r="B3090" t="str">
        <x:v>Barrio Nochicala</x:v>
      </x:c>
      <x:c r="C3090" t="str">
        <x:v>Mujer</x:v>
      </x:c>
      <x:c r="D3090" t="str">
        <x:v>k) 50 a 54 años</x:v>
      </x:c>
      <x:c r="E3090" s="1" t="n">
        <x:v>5</x:v>
      </x:c>
    </x:row>
    <x:row r="3091">
      <x:c r="A3091" t="str">
        <x:v>XOCHIMILCO</x:v>
      </x:c>
      <x:c r="B3091" t="str">
        <x:v>Barrio Nochicala</x:v>
      </x:c>
      <x:c r="C3091" t="str">
        <x:v>Mujer</x:v>
      </x:c>
      <x:c r="D3091" t="str">
        <x:v>l) 55 a 59 años</x:v>
      </x:c>
      <x:c r="E3091" s="1" t="n">
        <x:v>5</x:v>
      </x:c>
    </x:row>
    <x:row r="3092">
      <x:c r="A3092" t="str">
        <x:v>XOCHIMILCO</x:v>
      </x:c>
      <x:c r="B3092" t="str">
        <x:v>Barrio Nochicala</x:v>
      </x:c>
      <x:c r="C3092" t="str">
        <x:v>Mujer</x:v>
      </x:c>
      <x:c r="D3092" t="str">
        <x:v>m) 60 a 64 años</x:v>
      </x:c>
      <x:c r="E3092" s="1" t="n">
        <x:v>7</x:v>
      </x:c>
    </x:row>
    <x:row r="3093">
      <x:c r="A3093" t="str">
        <x:v>XOCHIMILCO</x:v>
      </x:c>
      <x:c r="B3093" t="str">
        <x:v>Barrio Nochicala</x:v>
      </x:c>
      <x:c r="C3093" t="str">
        <x:v>Mujer</x:v>
      </x:c>
      <x:c r="D3093" t="str">
        <x:v>n) 65 a 69 años</x:v>
      </x:c>
      <x:c r="E3093" s="1" t="n">
        <x:v>3</x:v>
      </x:c>
    </x:row>
    <x:row r="3094">
      <x:c r="A3094" t="str">
        <x:v>XOCHIMILCO</x:v>
      </x:c>
      <x:c r="B3094" t="str">
        <x:v>Barrio Nochicala</x:v>
      </x:c>
      <x:c r="C3094" t="str">
        <x:v>Mujer</x:v>
      </x:c>
      <x:c r="D3094" t="str">
        <x:v>o) 70 a 74 años</x:v>
      </x:c>
      <x:c r="E3094" s="1" t="n">
        <x:v>0</x:v>
      </x:c>
    </x:row>
    <x:row r="3095">
      <x:c r="A3095" t="str">
        <x:v>XOCHIMILCO</x:v>
      </x:c>
      <x:c r="B3095" t="str">
        <x:v>Barrio Nochicala</x:v>
      </x:c>
      <x:c r="C3095" t="str">
        <x:v>Mujer</x:v>
      </x:c>
      <x:c r="D3095" t="str">
        <x:v>p) 75 a 79 años</x:v>
      </x:c>
      <x:c r="E3095" s="1" t="n">
        <x:v>1</x:v>
      </x:c>
    </x:row>
    <x:row r="3096">
      <x:c r="A3096" t="str">
        <x:v>XOCHIMILCO</x:v>
      </x:c>
      <x:c r="B3096" t="str">
        <x:v>Barrio Nochicala</x:v>
      </x:c>
      <x:c r="C3096" t="str">
        <x:v>Mujer</x:v>
      </x:c>
      <x:c r="D3096" t="str">
        <x:v>q) 80 a 84 años</x:v>
      </x:c>
      <x:c r="E3096" s="1" t="n">
        <x:v>0</x:v>
      </x:c>
    </x:row>
    <x:row r="3097">
      <x:c r="A3097" t="str">
        <x:v>XOCHIMILCO</x:v>
      </x:c>
      <x:c r="B3097" t="str">
        <x:v>Barrio Nochicala</x:v>
      </x:c>
      <x:c r="C3097" t="str">
        <x:v>Mujer</x:v>
      </x:c>
      <x:c r="D3097" t="str">
        <x:v>r) 85 años y más</x:v>
      </x:c>
      <x:c r="E3097" s="1" t="n">
        <x:v>0</x:v>
      </x:c>
    </x:row>
    <x:row r="3098">
      <x:c r="A3098" t="str">
        <x:v>XOCHIMILCO</x:v>
      </x:c>
      <x:c r="B3098" t="str">
        <x:v>Zacazontlipac</x:v>
      </x:c>
      <x:c r="C3098" t="str">
        <x:v>Hombre</x:v>
      </x:c>
      <x:c r="D3098" t="str">
        <x:v>a) 0 a 4 años</x:v>
      </x:c>
      <x:c r="E3098" s="1" t="n">
        <x:v>21</x:v>
      </x:c>
    </x:row>
    <x:row r="3099">
      <x:c r="A3099" t="str">
        <x:v>XOCHIMILCO</x:v>
      </x:c>
      <x:c r="B3099" t="str">
        <x:v>Zacazontlipac</x:v>
      </x:c>
      <x:c r="C3099" t="str">
        <x:v>Hombre</x:v>
      </x:c>
      <x:c r="D3099" t="str">
        <x:v>b) 5 a 9 años</x:v>
      </x:c>
      <x:c r="E3099" s="1" t="n">
        <x:v>24</x:v>
      </x:c>
    </x:row>
    <x:row r="3100">
      <x:c r="A3100" t="str">
        <x:v>XOCHIMILCO</x:v>
      </x:c>
      <x:c r="B3100" t="str">
        <x:v>Zacazontlipac</x:v>
      </x:c>
      <x:c r="C3100" t="str">
        <x:v>Hombre</x:v>
      </x:c>
      <x:c r="D3100" t="str">
        <x:v>c) 10 a 14 años</x:v>
      </x:c>
      <x:c r="E3100" s="1" t="n">
        <x:v>17</x:v>
      </x:c>
    </x:row>
    <x:row r="3101">
      <x:c r="A3101" t="str">
        <x:v>XOCHIMILCO</x:v>
      </x:c>
      <x:c r="B3101" t="str">
        <x:v>Zacazontlipac</x:v>
      </x:c>
      <x:c r="C3101" t="str">
        <x:v>Hombre</x:v>
      </x:c>
      <x:c r="D3101" t="str">
        <x:v>d) 15 a 19 años</x:v>
      </x:c>
      <x:c r="E3101" s="1" t="n">
        <x:v>27</x:v>
      </x:c>
    </x:row>
    <x:row r="3102">
      <x:c r="A3102" t="str">
        <x:v>XOCHIMILCO</x:v>
      </x:c>
      <x:c r="B3102" t="str">
        <x:v>Zacazontlipac</x:v>
      </x:c>
      <x:c r="C3102" t="str">
        <x:v>Hombre</x:v>
      </x:c>
      <x:c r="D3102" t="str">
        <x:v>e) 20 a 24 años</x:v>
      </x:c>
      <x:c r="E3102" s="1" t="n">
        <x:v>35</x:v>
      </x:c>
    </x:row>
    <x:row r="3103">
      <x:c r="A3103" t="str">
        <x:v>XOCHIMILCO</x:v>
      </x:c>
      <x:c r="B3103" t="str">
        <x:v>Zacazontlipac</x:v>
      </x:c>
      <x:c r="C3103" t="str">
        <x:v>Hombre</x:v>
      </x:c>
      <x:c r="D3103" t="str">
        <x:v>f) 25 a 29 años</x:v>
      </x:c>
      <x:c r="E3103" s="1" t="n">
        <x:v>30</x:v>
      </x:c>
    </x:row>
    <x:row r="3104">
      <x:c r="A3104" t="str">
        <x:v>XOCHIMILCO</x:v>
      </x:c>
      <x:c r="B3104" t="str">
        <x:v>Zacazontlipac</x:v>
      </x:c>
      <x:c r="C3104" t="str">
        <x:v>Hombre</x:v>
      </x:c>
      <x:c r="D3104" t="str">
        <x:v>g) 30 a 34 años</x:v>
      </x:c>
      <x:c r="E3104" s="1" t="n">
        <x:v>29</x:v>
      </x:c>
    </x:row>
    <x:row r="3105">
      <x:c r="A3105" t="str">
        <x:v>XOCHIMILCO</x:v>
      </x:c>
      <x:c r="B3105" t="str">
        <x:v>Zacazontlipac</x:v>
      </x:c>
      <x:c r="C3105" t="str">
        <x:v>Hombre</x:v>
      </x:c>
      <x:c r="D3105" t="str">
        <x:v>h) 35 a 39 años</x:v>
      </x:c>
      <x:c r="E3105" s="1" t="n">
        <x:v>15</x:v>
      </x:c>
    </x:row>
    <x:row r="3106">
      <x:c r="A3106" t="str">
        <x:v>XOCHIMILCO</x:v>
      </x:c>
      <x:c r="B3106" t="str">
        <x:v>Zacazontlipac</x:v>
      </x:c>
      <x:c r="C3106" t="str">
        <x:v>Hombre</x:v>
      </x:c>
      <x:c r="D3106" t="str">
        <x:v>i) 40 a 44 años</x:v>
      </x:c>
      <x:c r="E3106" s="1" t="n">
        <x:v>18</x:v>
      </x:c>
    </x:row>
    <x:row r="3107">
      <x:c r="A3107" t="str">
        <x:v>XOCHIMILCO</x:v>
      </x:c>
      <x:c r="B3107" t="str">
        <x:v>Zacazontlipac</x:v>
      </x:c>
      <x:c r="C3107" t="str">
        <x:v>Hombre</x:v>
      </x:c>
      <x:c r="D3107" t="str">
        <x:v>j) 45 a 49 años</x:v>
      </x:c>
      <x:c r="E3107" s="1" t="n">
        <x:v>12</x:v>
      </x:c>
    </x:row>
    <x:row r="3108">
      <x:c r="A3108" t="str">
        <x:v>XOCHIMILCO</x:v>
      </x:c>
      <x:c r="B3108" t="str">
        <x:v>Zacazontlipac</x:v>
      </x:c>
      <x:c r="C3108" t="str">
        <x:v>Hombre</x:v>
      </x:c>
      <x:c r="D3108" t="str">
        <x:v>k) 50 a 54 años</x:v>
      </x:c>
      <x:c r="E3108" s="1" t="n">
        <x:v>30</x:v>
      </x:c>
    </x:row>
    <x:row r="3109">
      <x:c r="A3109" t="str">
        <x:v>XOCHIMILCO</x:v>
      </x:c>
      <x:c r="B3109" t="str">
        <x:v>Zacazontlipac</x:v>
      </x:c>
      <x:c r="C3109" t="str">
        <x:v>Hombre</x:v>
      </x:c>
      <x:c r="D3109" t="str">
        <x:v>l) 55 a 59 años</x:v>
      </x:c>
      <x:c r="E3109" s="1" t="n">
        <x:v>11</x:v>
      </x:c>
    </x:row>
    <x:row r="3110">
      <x:c r="A3110" t="str">
        <x:v>XOCHIMILCO</x:v>
      </x:c>
      <x:c r="B3110" t="str">
        <x:v>Zacazontlipac</x:v>
      </x:c>
      <x:c r="C3110" t="str">
        <x:v>Hombre</x:v>
      </x:c>
      <x:c r="D3110" t="str">
        <x:v>m) 60 a 64 años</x:v>
      </x:c>
      <x:c r="E3110" s="1" t="n">
        <x:v>7</x:v>
      </x:c>
    </x:row>
    <x:row r="3111">
      <x:c r="A3111" t="str">
        <x:v>XOCHIMILCO</x:v>
      </x:c>
      <x:c r="B3111" t="str">
        <x:v>Zacazontlipac</x:v>
      </x:c>
      <x:c r="C3111" t="str">
        <x:v>Hombre</x:v>
      </x:c>
      <x:c r="D3111" t="str">
        <x:v>n) 65 a 69 años</x:v>
      </x:c>
      <x:c r="E3111" s="1" t="n">
        <x:v>2</x:v>
      </x:c>
    </x:row>
    <x:row r="3112">
      <x:c r="A3112" t="str">
        <x:v>XOCHIMILCO</x:v>
      </x:c>
      <x:c r="B3112" t="str">
        <x:v>Zacazontlipac</x:v>
      </x:c>
      <x:c r="C3112" t="str">
        <x:v>Hombre</x:v>
      </x:c>
      <x:c r="D3112" t="str">
        <x:v>o) 70 a 74 años</x:v>
      </x:c>
      <x:c r="E3112" s="1" t="n">
        <x:v>2</x:v>
      </x:c>
    </x:row>
    <x:row r="3113">
      <x:c r="A3113" t="str">
        <x:v>XOCHIMILCO</x:v>
      </x:c>
      <x:c r="B3113" t="str">
        <x:v>Zacazontlipac</x:v>
      </x:c>
      <x:c r="C3113" t="str">
        <x:v>Hombre</x:v>
      </x:c>
      <x:c r="D3113" t="str">
        <x:v>p) 75 a 79 años</x:v>
      </x:c>
      <x:c r="E3113" s="1" t="n">
        <x:v>2</x:v>
      </x:c>
    </x:row>
    <x:row r="3114">
      <x:c r="A3114" t="str">
        <x:v>XOCHIMILCO</x:v>
      </x:c>
      <x:c r="B3114" t="str">
        <x:v>Zacazontlipac</x:v>
      </x:c>
      <x:c r="C3114" t="str">
        <x:v>Hombre</x:v>
      </x:c>
      <x:c r="D3114" t="str">
        <x:v>q) 80 a 84 años</x:v>
      </x:c>
      <x:c r="E3114" s="1" t="n">
        <x:v>0</x:v>
      </x:c>
    </x:row>
    <x:row r="3115">
      <x:c r="A3115" t="str">
        <x:v>XOCHIMILCO</x:v>
      </x:c>
      <x:c r="B3115" t="str">
        <x:v>Zacazontlipac</x:v>
      </x:c>
      <x:c r="C3115" t="str">
        <x:v>Hombre</x:v>
      </x:c>
      <x:c r="D3115" t="str">
        <x:v>r) 85 años y más</x:v>
      </x:c>
      <x:c r="E3115" s="1" t="n">
        <x:v>1</x:v>
      </x:c>
    </x:row>
    <x:row r="3116">
      <x:c r="A3116" t="str">
        <x:v>XOCHIMILCO</x:v>
      </x:c>
      <x:c r="B3116" t="str">
        <x:v>Zacazontlipac</x:v>
      </x:c>
      <x:c r="C3116" t="str">
        <x:v>Mujer</x:v>
      </x:c>
      <x:c r="D3116" t="str">
        <x:v>a) 0 a 4 años</x:v>
      </x:c>
      <x:c r="E3116" s="1" t="n">
        <x:v>20</x:v>
      </x:c>
    </x:row>
    <x:row r="3117">
      <x:c r="A3117" t="str">
        <x:v>XOCHIMILCO</x:v>
      </x:c>
      <x:c r="B3117" t="str">
        <x:v>Zacazontlipac</x:v>
      </x:c>
      <x:c r="C3117" t="str">
        <x:v>Mujer</x:v>
      </x:c>
      <x:c r="D3117" t="str">
        <x:v>b) 5 a 9 años</x:v>
      </x:c>
      <x:c r="E3117" s="1" t="n">
        <x:v>12</x:v>
      </x:c>
    </x:row>
    <x:row r="3118">
      <x:c r="A3118" t="str">
        <x:v>XOCHIMILCO</x:v>
      </x:c>
      <x:c r="B3118" t="str">
        <x:v>Zacazontlipac</x:v>
      </x:c>
      <x:c r="C3118" t="str">
        <x:v>Mujer</x:v>
      </x:c>
      <x:c r="D3118" t="str">
        <x:v>c) 10 a 14 años</x:v>
      </x:c>
      <x:c r="E3118" s="1" t="n">
        <x:v>28</x:v>
      </x:c>
    </x:row>
    <x:row r="3119">
      <x:c r="A3119" t="str">
        <x:v>XOCHIMILCO</x:v>
      </x:c>
      <x:c r="B3119" t="str">
        <x:v>Zacazontlipac</x:v>
      </x:c>
      <x:c r="C3119" t="str">
        <x:v>Mujer</x:v>
      </x:c>
      <x:c r="D3119" t="str">
        <x:v>d) 15 a 19 años</x:v>
      </x:c>
      <x:c r="E3119" s="1" t="n">
        <x:v>34</x:v>
      </x:c>
    </x:row>
    <x:row r="3120">
      <x:c r="A3120" t="str">
        <x:v>XOCHIMILCO</x:v>
      </x:c>
      <x:c r="B3120" t="str">
        <x:v>Zacazontlipac</x:v>
      </x:c>
      <x:c r="C3120" t="str">
        <x:v>Mujer</x:v>
      </x:c>
      <x:c r="D3120" t="str">
        <x:v>e) 20 a 24 años</x:v>
      </x:c>
      <x:c r="E3120" s="1" t="n">
        <x:v>28</x:v>
      </x:c>
    </x:row>
    <x:row r="3121">
      <x:c r="A3121" t="str">
        <x:v>XOCHIMILCO</x:v>
      </x:c>
      <x:c r="B3121" t="str">
        <x:v>Zacazontlipac</x:v>
      </x:c>
      <x:c r="C3121" t="str">
        <x:v>Mujer</x:v>
      </x:c>
      <x:c r="D3121" t="str">
        <x:v>f) 25 a 29 años</x:v>
      </x:c>
      <x:c r="E3121" s="1" t="n">
        <x:v>21</x:v>
      </x:c>
    </x:row>
    <x:row r="3122">
      <x:c r="A3122" t="str">
        <x:v>XOCHIMILCO</x:v>
      </x:c>
      <x:c r="B3122" t="str">
        <x:v>Zacazontlipac</x:v>
      </x:c>
      <x:c r="C3122" t="str">
        <x:v>Mujer</x:v>
      </x:c>
      <x:c r="D3122" t="str">
        <x:v>g) 30 a 34 años</x:v>
      </x:c>
      <x:c r="E3122" s="1" t="n">
        <x:v>23</x:v>
      </x:c>
    </x:row>
    <x:row r="3123">
      <x:c r="A3123" t="str">
        <x:v>XOCHIMILCO</x:v>
      </x:c>
      <x:c r="B3123" t="str">
        <x:v>Zacazontlipac</x:v>
      </x:c>
      <x:c r="C3123" t="str">
        <x:v>Mujer</x:v>
      </x:c>
      <x:c r="D3123" t="str">
        <x:v>h) 35 a 39 años</x:v>
      </x:c>
      <x:c r="E3123" s="1" t="n">
        <x:v>18</x:v>
      </x:c>
    </x:row>
    <x:row r="3124">
      <x:c r="A3124" t="str">
        <x:v>XOCHIMILCO</x:v>
      </x:c>
      <x:c r="B3124" t="str">
        <x:v>Zacazontlipac</x:v>
      </x:c>
      <x:c r="C3124" t="str">
        <x:v>Mujer</x:v>
      </x:c>
      <x:c r="D3124" t="str">
        <x:v>i) 40 a 44 años</x:v>
      </x:c>
      <x:c r="E3124" s="1" t="n">
        <x:v>23</x:v>
      </x:c>
    </x:row>
    <x:row r="3125">
      <x:c r="A3125" t="str">
        <x:v>XOCHIMILCO</x:v>
      </x:c>
      <x:c r="B3125" t="str">
        <x:v>Zacazontlipac</x:v>
      </x:c>
      <x:c r="C3125" t="str">
        <x:v>Mujer</x:v>
      </x:c>
      <x:c r="D3125" t="str">
        <x:v>j) 45 a 49 años</x:v>
      </x:c>
      <x:c r="E3125" s="1" t="n">
        <x:v>23</x:v>
      </x:c>
    </x:row>
    <x:row r="3126">
      <x:c r="A3126" t="str">
        <x:v>XOCHIMILCO</x:v>
      </x:c>
      <x:c r="B3126" t="str">
        <x:v>Zacazontlipac</x:v>
      </x:c>
      <x:c r="C3126" t="str">
        <x:v>Mujer</x:v>
      </x:c>
      <x:c r="D3126" t="str">
        <x:v>k) 50 a 54 años</x:v>
      </x:c>
      <x:c r="E3126" s="1" t="n">
        <x:v>27</x:v>
      </x:c>
    </x:row>
    <x:row r="3127">
      <x:c r="A3127" t="str">
        <x:v>XOCHIMILCO</x:v>
      </x:c>
      <x:c r="B3127" t="str">
        <x:v>Zacazontlipac</x:v>
      </x:c>
      <x:c r="C3127" t="str">
        <x:v>Mujer</x:v>
      </x:c>
      <x:c r="D3127" t="str">
        <x:v>l) 55 a 59 años</x:v>
      </x:c>
      <x:c r="E3127" s="1" t="n">
        <x:v>13</x:v>
      </x:c>
    </x:row>
    <x:row r="3128">
      <x:c r="A3128" t="str">
        <x:v>XOCHIMILCO</x:v>
      </x:c>
      <x:c r="B3128" t="str">
        <x:v>Zacazontlipac</x:v>
      </x:c>
      <x:c r="C3128" t="str">
        <x:v>Mujer</x:v>
      </x:c>
      <x:c r="D3128" t="str">
        <x:v>m) 60 a 64 años</x:v>
      </x:c>
      <x:c r="E3128" s="1" t="n">
        <x:v>5</x:v>
      </x:c>
    </x:row>
    <x:row r="3129">
      <x:c r="A3129" t="str">
        <x:v>XOCHIMILCO</x:v>
      </x:c>
      <x:c r="B3129" t="str">
        <x:v>Zacazontlipac</x:v>
      </x:c>
      <x:c r="C3129" t="str">
        <x:v>Mujer</x:v>
      </x:c>
      <x:c r="D3129" t="str">
        <x:v>n) 65 a 69 años</x:v>
      </x:c>
      <x:c r="E3129" s="1" t="n">
        <x:v>5</x:v>
      </x:c>
    </x:row>
    <x:row r="3130">
      <x:c r="A3130" t="str">
        <x:v>XOCHIMILCO</x:v>
      </x:c>
      <x:c r="B3130" t="str">
        <x:v>Zacazontlipac</x:v>
      </x:c>
      <x:c r="C3130" t="str">
        <x:v>Mujer</x:v>
      </x:c>
      <x:c r="D3130" t="str">
        <x:v>o) 70 a 74 años</x:v>
      </x:c>
      <x:c r="E3130" s="1" t="n">
        <x:v>3</x:v>
      </x:c>
    </x:row>
    <x:row r="3131">
      <x:c r="A3131" t="str">
        <x:v>XOCHIMILCO</x:v>
      </x:c>
      <x:c r="B3131" t="str">
        <x:v>Zacazontlipac</x:v>
      </x:c>
      <x:c r="C3131" t="str">
        <x:v>Mujer</x:v>
      </x:c>
      <x:c r="D3131" t="str">
        <x:v>p) 75 a 79 años</x:v>
      </x:c>
      <x:c r="E3131" s="1" t="n">
        <x:v>6</x:v>
      </x:c>
    </x:row>
    <x:row r="3132">
      <x:c r="A3132" t="str">
        <x:v>XOCHIMILCO</x:v>
      </x:c>
      <x:c r="B3132" t="str">
        <x:v>Zacazontlipac</x:v>
      </x:c>
      <x:c r="C3132" t="str">
        <x:v>Mujer</x:v>
      </x:c>
      <x:c r="D3132" t="str">
        <x:v>q) 80 a 84 años</x:v>
      </x:c>
      <x:c r="E3132" s="1" t="n">
        <x:v>1</x:v>
      </x:c>
    </x:row>
    <x:row r="3133">
      <x:c r="A3133" t="str">
        <x:v>XOCHIMILCO</x:v>
      </x:c>
      <x:c r="B3133" t="str">
        <x:v>Zacazontlipac</x:v>
      </x:c>
      <x:c r="C3133" t="str">
        <x:v>Mujer</x:v>
      </x:c>
      <x:c r="D3133" t="str">
        <x:v>r) 85 años y más</x:v>
      </x:c>
      <x:c r="E3133" s="1" t="n">
        <x:v>2</x:v>
      </x:c>
    </x:row>
    <x:row r="3134">
      <x:c r="A3134" t="str">
        <x:v>BENITO JUAREZ</x:v>
      </x:c>
      <x:c r="B3134" t="str">
        <x:v>Benito Juárez</x:v>
      </x:c>
      <x:c r="C3134" t="str">
        <x:v>Hombre</x:v>
      </x:c>
      <x:c r="D3134" t="str">
        <x:v>a) 0 a 4 años</x:v>
      </x:c>
      <x:c r="E3134" s="1" t="n">
        <x:v>8451</x:v>
      </x:c>
    </x:row>
    <x:row r="3135">
      <x:c r="A3135" t="str">
        <x:v>BENITO JUAREZ</x:v>
      </x:c>
      <x:c r="B3135" t="str">
        <x:v>Benito Juárez</x:v>
      </x:c>
      <x:c r="C3135" t="str">
        <x:v>Hombre</x:v>
      </x:c>
      <x:c r="D3135" t="str">
        <x:v>b) 5 a 9 años</x:v>
      </x:c>
      <x:c r="E3135" s="1" t="n">
        <x:v>8641</x:v>
      </x:c>
    </x:row>
    <x:row r="3136">
      <x:c r="A3136" t="str">
        <x:v>BENITO JUAREZ</x:v>
      </x:c>
      <x:c r="B3136" t="str">
        <x:v>Benito Juárez</x:v>
      </x:c>
      <x:c r="C3136" t="str">
        <x:v>Hombre</x:v>
      </x:c>
      <x:c r="D3136" t="str">
        <x:v>c) 10 a 14 años</x:v>
      </x:c>
      <x:c r="E3136" s="1" t="n">
        <x:v>8962</x:v>
      </x:c>
    </x:row>
    <x:row r="3137">
      <x:c r="A3137" t="str">
        <x:v>BENITO JUAREZ</x:v>
      </x:c>
      <x:c r="B3137" t="str">
        <x:v>Benito Juárez</x:v>
      </x:c>
      <x:c r="C3137" t="str">
        <x:v>Hombre</x:v>
      </x:c>
      <x:c r="D3137" t="str">
        <x:v>d) 15 a 19 años</x:v>
      </x:c>
      <x:c r="E3137" s="1" t="n">
        <x:v>9563</x:v>
      </x:c>
    </x:row>
    <x:row r="3138">
      <x:c r="A3138" t="str">
        <x:v>BENITO JUAREZ</x:v>
      </x:c>
      <x:c r="B3138" t="str">
        <x:v>Benito Juárez</x:v>
      </x:c>
      <x:c r="C3138" t="str">
        <x:v>Hombre</x:v>
      </x:c>
      <x:c r="D3138" t="str">
        <x:v>e) 20 a 24 años</x:v>
      </x:c>
      <x:c r="E3138" s="1" t="n">
        <x:v>12351</x:v>
      </x:c>
    </x:row>
    <x:row r="3139">
      <x:c r="A3139" t="str">
        <x:v>BENITO JUAREZ</x:v>
      </x:c>
      <x:c r="B3139" t="str">
        <x:v>Benito Juárez</x:v>
      </x:c>
      <x:c r="C3139" t="str">
        <x:v>Hombre</x:v>
      </x:c>
      <x:c r="D3139" t="str">
        <x:v>f) 25 a 29 años</x:v>
      </x:c>
      <x:c r="E3139" s="1" t="n">
        <x:v>17844</x:v>
      </x:c>
    </x:row>
    <x:row r="3140">
      <x:c r="A3140" t="str">
        <x:v>BENITO JUAREZ</x:v>
      </x:c>
      <x:c r="B3140" t="str">
        <x:v>Benito Juárez</x:v>
      </x:c>
      <x:c r="C3140" t="str">
        <x:v>Hombre</x:v>
      </x:c>
      <x:c r="D3140" t="str">
        <x:v>g) 30 a 34 años</x:v>
      </x:c>
      <x:c r="E3140" s="1" t="n">
        <x:v>21909</x:v>
      </x:c>
    </x:row>
    <x:row r="3141">
      <x:c r="A3141" t="str">
        <x:v>BENITO JUAREZ</x:v>
      </x:c>
      <x:c r="B3141" t="str">
        <x:v>Benito Juárez</x:v>
      </x:c>
      <x:c r="C3141" t="str">
        <x:v>Hombre</x:v>
      </x:c>
      <x:c r="D3141" t="str">
        <x:v>h) 35 a 39 años</x:v>
      </x:c>
      <x:c r="E3141" s="1" t="n">
        <x:v>21123</x:v>
      </x:c>
    </x:row>
    <x:row r="3142">
      <x:c r="A3142" t="str">
        <x:v>BENITO JUAREZ</x:v>
      </x:c>
      <x:c r="B3142" t="str">
        <x:v>Benito Juárez</x:v>
      </x:c>
      <x:c r="C3142" t="str">
        <x:v>Hombre</x:v>
      </x:c>
      <x:c r="D3142" t="str">
        <x:v>i) 40 a 44 años</x:v>
      </x:c>
      <x:c r="E3142" s="1" t="n">
        <x:v>17613</x:v>
      </x:c>
    </x:row>
    <x:row r="3143">
      <x:c r="A3143" t="str">
        <x:v>BENITO JUAREZ</x:v>
      </x:c>
      <x:c r="B3143" t="str">
        <x:v>Benito Juárez</x:v>
      </x:c>
      <x:c r="C3143" t="str">
        <x:v>Hombre</x:v>
      </x:c>
      <x:c r="D3143" t="str">
        <x:v>j) 45 a 49 años</x:v>
      </x:c>
      <x:c r="E3143" s="1" t="n">
        <x:v>15941</x:v>
      </x:c>
    </x:row>
    <x:row r="3144">
      <x:c r="A3144" t="str">
        <x:v>BENITO JUAREZ</x:v>
      </x:c>
      <x:c r="B3144" t="str">
        <x:v>Benito Juárez</x:v>
      </x:c>
      <x:c r="C3144" t="str">
        <x:v>Hombre</x:v>
      </x:c>
      <x:c r="D3144" t="str">
        <x:v>k) 50 a 54 años</x:v>
      </x:c>
      <x:c r="E3144" s="1" t="n">
        <x:v>13181</x:v>
      </x:c>
    </x:row>
    <x:row r="3145">
      <x:c r="A3145" t="str">
        <x:v>BENITO JUAREZ</x:v>
      </x:c>
      <x:c r="B3145" t="str">
        <x:v>Benito Juárez</x:v>
      </x:c>
      <x:c r="C3145" t="str">
        <x:v>Hombre</x:v>
      </x:c>
      <x:c r="D3145" t="str">
        <x:v>l) 55 a 59 años</x:v>
      </x:c>
      <x:c r="E3145" s="1" t="n">
        <x:v>11800</x:v>
      </x:c>
    </x:row>
    <x:row r="3146">
      <x:c r="A3146" t="str">
        <x:v>BENITO JUAREZ</x:v>
      </x:c>
      <x:c r="B3146" t="str">
        <x:v>Benito Juárez</x:v>
      </x:c>
      <x:c r="C3146" t="str">
        <x:v>Hombre</x:v>
      </x:c>
      <x:c r="D3146" t="str">
        <x:v>m) 60 a 64 años</x:v>
      </x:c>
      <x:c r="E3146" s="1" t="n">
        <x:v>10937</x:v>
      </x:c>
    </x:row>
    <x:row r="3147">
      <x:c r="A3147" t="str">
        <x:v>BENITO JUAREZ</x:v>
      </x:c>
      <x:c r="B3147" t="str">
        <x:v>Benito Juárez</x:v>
      </x:c>
      <x:c r="C3147" t="str">
        <x:v>Hombre</x:v>
      </x:c>
      <x:c r="D3147" t="str">
        <x:v>n) 65 a 69 años</x:v>
      </x:c>
      <x:c r="E3147" s="1" t="n">
        <x:v>8583</x:v>
      </x:c>
    </x:row>
    <x:row r="3148">
      <x:c r="A3148" t="str">
        <x:v>BENITO JUAREZ</x:v>
      </x:c>
      <x:c r="B3148" t="str">
        <x:v>Benito Juárez</x:v>
      </x:c>
      <x:c r="C3148" t="str">
        <x:v>Hombre</x:v>
      </x:c>
      <x:c r="D3148" t="str">
        <x:v>o) 70 a 74 años</x:v>
      </x:c>
      <x:c r="E3148" s="1" t="n">
        <x:v>6472</x:v>
      </x:c>
    </x:row>
    <x:row r="3149">
      <x:c r="A3149" t="str">
        <x:v>BENITO JUAREZ</x:v>
      </x:c>
      <x:c r="B3149" t="str">
        <x:v>Benito Juárez</x:v>
      </x:c>
      <x:c r="C3149" t="str">
        <x:v>Hombre</x:v>
      </x:c>
      <x:c r="D3149" t="str">
        <x:v>p) 75 a 79 años</x:v>
      </x:c>
      <x:c r="E3149" s="1" t="n">
        <x:v>4031</x:v>
      </x:c>
    </x:row>
    <x:row r="3150">
      <x:c r="A3150" t="str">
        <x:v>BENITO JUAREZ</x:v>
      </x:c>
      <x:c r="B3150" t="str">
        <x:v>Benito Juárez</x:v>
      </x:c>
      <x:c r="C3150" t="str">
        <x:v>Hombre</x:v>
      </x:c>
      <x:c r="D3150" t="str">
        <x:v>q) 80 a 84 años</x:v>
      </x:c>
      <x:c r="E3150" s="1" t="n">
        <x:v>2584</x:v>
      </x:c>
    </x:row>
    <x:row r="3151">
      <x:c r="A3151" t="str">
        <x:v>BENITO JUAREZ</x:v>
      </x:c>
      <x:c r="B3151" t="str">
        <x:v>Benito Juárez</x:v>
      </x:c>
      <x:c r="C3151" t="str">
        <x:v>Hombre</x:v>
      </x:c>
      <x:c r="D3151" t="str">
        <x:v>r) 85 años y más</x:v>
      </x:c>
      <x:c r="E3151" s="1" t="n">
        <x:v>2122</x:v>
      </x:c>
    </x:row>
    <x:row r="3152">
      <x:c r="A3152" t="str">
        <x:v>BENITO JUAREZ</x:v>
      </x:c>
      <x:c r="B3152" t="str">
        <x:v>Benito Juárez</x:v>
      </x:c>
      <x:c r="C3152" t="str">
        <x:v>Mujer</x:v>
      </x:c>
      <x:c r="D3152" t="str">
        <x:v>a) 0 a 4 años</x:v>
      </x:c>
      <x:c r="E3152" s="1" t="n">
        <x:v>8191</x:v>
      </x:c>
    </x:row>
    <x:row r="3153">
      <x:c r="A3153" t="str">
        <x:v>BENITO JUAREZ</x:v>
      </x:c>
      <x:c r="B3153" t="str">
        <x:v>Benito Juárez</x:v>
      </x:c>
      <x:c r="C3153" t="str">
        <x:v>Mujer</x:v>
      </x:c>
      <x:c r="D3153" t="str">
        <x:v>b) 5 a 9 años</x:v>
      </x:c>
      <x:c r="E3153" s="1" t="n">
        <x:v>8428</x:v>
      </x:c>
    </x:row>
    <x:row r="3154">
      <x:c r="A3154" t="str">
        <x:v>BENITO JUAREZ</x:v>
      </x:c>
      <x:c r="B3154" t="str">
        <x:v>Benito Juárez</x:v>
      </x:c>
      <x:c r="C3154" t="str">
        <x:v>Mujer</x:v>
      </x:c>
      <x:c r="D3154" t="str">
        <x:v>c) 10 a 14 años</x:v>
      </x:c>
      <x:c r="E3154" s="1" t="n">
        <x:v>8570</x:v>
      </x:c>
    </x:row>
    <x:row r="3155">
      <x:c r="A3155" t="str">
        <x:v>BENITO JUAREZ</x:v>
      </x:c>
      <x:c r="B3155" t="str">
        <x:v>Benito Juárez</x:v>
      </x:c>
      <x:c r="C3155" t="str">
        <x:v>Mujer</x:v>
      </x:c>
      <x:c r="D3155" t="str">
        <x:v>d) 15 a 19 años</x:v>
      </x:c>
      <x:c r="E3155" s="1" t="n">
        <x:v>9407</x:v>
      </x:c>
    </x:row>
    <x:row r="3156">
      <x:c r="A3156" t="str">
        <x:v>BENITO JUAREZ</x:v>
      </x:c>
      <x:c r="B3156" t="str">
        <x:v>Benito Juárez</x:v>
      </x:c>
      <x:c r="C3156" t="str">
        <x:v>Mujer</x:v>
      </x:c>
      <x:c r="D3156" t="str">
        <x:v>e) 20 a 24 años</x:v>
      </x:c>
      <x:c r="E3156" s="1" t="n">
        <x:v>12760</x:v>
      </x:c>
    </x:row>
    <x:row r="3157">
      <x:c r="A3157" t="str">
        <x:v>BENITO JUAREZ</x:v>
      </x:c>
      <x:c r="B3157" t="str">
        <x:v>Benito Juárez</x:v>
      </x:c>
      <x:c r="C3157" t="str">
        <x:v>Mujer</x:v>
      </x:c>
      <x:c r="D3157" t="str">
        <x:v>f) 25 a 29 años</x:v>
      </x:c>
      <x:c r="E3157" s="1" t="n">
        <x:v>19331</x:v>
      </x:c>
    </x:row>
    <x:row r="3158">
      <x:c r="A3158" t="str">
        <x:v>BENITO JUAREZ</x:v>
      </x:c>
      <x:c r="B3158" t="str">
        <x:v>Benito Juárez</x:v>
      </x:c>
      <x:c r="C3158" t="str">
        <x:v>Mujer</x:v>
      </x:c>
      <x:c r="D3158" t="str">
        <x:v>g) 30 a 34 años</x:v>
      </x:c>
      <x:c r="E3158" s="1" t="n">
        <x:v>23278</x:v>
      </x:c>
    </x:row>
    <x:row r="3159">
      <x:c r="A3159" t="str">
        <x:v>BENITO JUAREZ</x:v>
      </x:c>
      <x:c r="B3159" t="str">
        <x:v>Benito Juárez</x:v>
      </x:c>
      <x:c r="C3159" t="str">
        <x:v>Mujer</x:v>
      </x:c>
      <x:c r="D3159" t="str">
        <x:v>h) 35 a 39 años</x:v>
      </x:c>
      <x:c r="E3159" s="1" t="n">
        <x:v>21844</x:v>
      </x:c>
    </x:row>
    <x:row r="3160">
      <x:c r="A3160" t="str">
        <x:v>BENITO JUAREZ</x:v>
      </x:c>
      <x:c r="B3160" t="str">
        <x:v>Benito Juárez</x:v>
      </x:c>
      <x:c r="C3160" t="str">
        <x:v>Mujer</x:v>
      </x:c>
      <x:c r="D3160" t="str">
        <x:v>i) 40 a 44 años</x:v>
      </x:c>
      <x:c r="E3160" s="1" t="n">
        <x:v>19236</x:v>
      </x:c>
    </x:row>
    <x:row r="3161">
      <x:c r="A3161" t="str">
        <x:v>BENITO JUAREZ</x:v>
      </x:c>
      <x:c r="B3161" t="str">
        <x:v>Benito Juárez</x:v>
      </x:c>
      <x:c r="C3161" t="str">
        <x:v>Mujer</x:v>
      </x:c>
      <x:c r="D3161" t="str">
        <x:v>j) 45 a 49 años</x:v>
      </x:c>
      <x:c r="E3161" s="1" t="n">
        <x:v>17590</x:v>
      </x:c>
    </x:row>
    <x:row r="3162">
      <x:c r="A3162" t="str">
        <x:v>BENITO JUAREZ</x:v>
      </x:c>
      <x:c r="B3162" t="str">
        <x:v>Benito Juárez</x:v>
      </x:c>
      <x:c r="C3162" t="str">
        <x:v>Mujer</x:v>
      </x:c>
      <x:c r="D3162" t="str">
        <x:v>k) 50 a 54 años</x:v>
      </x:c>
      <x:c r="E3162" s="1" t="n">
        <x:v>15844</x:v>
      </x:c>
    </x:row>
    <x:row r="3163">
      <x:c r="A3163" t="str">
        <x:v>BENITO JUAREZ</x:v>
      </x:c>
      <x:c r="B3163" t="str">
        <x:v>Benito Juárez</x:v>
      </x:c>
      <x:c r="C3163" t="str">
        <x:v>Mujer</x:v>
      </x:c>
      <x:c r="D3163" t="str">
        <x:v>l) 55 a 59 años</x:v>
      </x:c>
      <x:c r="E3163" s="1" t="n">
        <x:v>14913</x:v>
      </x:c>
    </x:row>
    <x:row r="3164">
      <x:c r="A3164" t="str">
        <x:v>BENITO JUAREZ</x:v>
      </x:c>
      <x:c r="B3164" t="str">
        <x:v>Benito Juárez</x:v>
      </x:c>
      <x:c r="C3164" t="str">
        <x:v>Mujer</x:v>
      </x:c>
      <x:c r="D3164" t="str">
        <x:v>m) 60 a 64 años</x:v>
      </x:c>
      <x:c r="E3164" s="1" t="n">
        <x:v>14814</x:v>
      </x:c>
    </x:row>
    <x:row r="3165">
      <x:c r="A3165" t="str">
        <x:v>BENITO JUAREZ</x:v>
      </x:c>
      <x:c r="B3165" t="str">
        <x:v>Benito Juárez</x:v>
      </x:c>
      <x:c r="C3165" t="str">
        <x:v>Mujer</x:v>
      </x:c>
      <x:c r="D3165" t="str">
        <x:v>n) 65 a 69 años</x:v>
      </x:c>
      <x:c r="E3165" s="1" t="n">
        <x:v>11850</x:v>
      </x:c>
    </x:row>
    <x:row r="3166">
      <x:c r="A3166" t="str">
        <x:v>BENITO JUAREZ</x:v>
      </x:c>
      <x:c r="B3166" t="str">
        <x:v>Benito Juárez</x:v>
      </x:c>
      <x:c r="C3166" t="str">
        <x:v>Mujer</x:v>
      </x:c>
      <x:c r="D3166" t="str">
        <x:v>o) 70 a 74 años</x:v>
      </x:c>
      <x:c r="E3166" s="1" t="n">
        <x:v>9617</x:v>
      </x:c>
    </x:row>
    <x:row r="3167">
      <x:c r="A3167" t="str">
        <x:v>BENITO JUAREZ</x:v>
      </x:c>
      <x:c r="B3167" t="str">
        <x:v>Benito Juárez</x:v>
      </x:c>
      <x:c r="C3167" t="str">
        <x:v>Mujer</x:v>
      </x:c>
      <x:c r="D3167" t="str">
        <x:v>p) 75 a 79 años</x:v>
      </x:c>
      <x:c r="E3167" s="1" t="n">
        <x:v>6395</x:v>
      </x:c>
    </x:row>
    <x:row r="3168">
      <x:c r="A3168" t="str">
        <x:v>BENITO JUAREZ</x:v>
      </x:c>
      <x:c r="B3168" t="str">
        <x:v>Benito Juárez</x:v>
      </x:c>
      <x:c r="C3168" t="str">
        <x:v>Mujer</x:v>
      </x:c>
      <x:c r="D3168" t="str">
        <x:v>q) 80 a 84 años</x:v>
      </x:c>
      <x:c r="E3168" s="1" t="n">
        <x:v>4764</x:v>
      </x:c>
    </x:row>
    <x:row r="3169">
      <x:c r="A3169" t="str">
        <x:v>BENITO JUAREZ</x:v>
      </x:c>
      <x:c r="B3169" t="str">
        <x:v>Benito Juárez</x:v>
      </x:c>
      <x:c r="C3169" t="str">
        <x:v>Mujer</x:v>
      </x:c>
      <x:c r="D3169" t="str">
        <x:v>r) 85 años y más</x:v>
      </x:c>
      <x:c r="E3169" s="1" t="n">
        <x:v>5175</x:v>
      </x:c>
    </x:row>
    <x:row r="3170">
      <x:c r="A3170" t="str">
        <x:v>CUAUHTEMOC</x:v>
      </x:c>
      <x:c r="B3170" t="str">
        <x:v>Cuauhtémoc</x:v>
      </x:c>
      <x:c r="C3170" t="str">
        <x:v>Hombre</x:v>
      </x:c>
      <x:c r="D3170" t="str">
        <x:v>a) 0 a 4 años</x:v>
      </x:c>
      <x:c r="E3170" s="1" t="n">
        <x:v>13027</x:v>
      </x:c>
    </x:row>
    <x:row r="3171">
      <x:c r="A3171" t="str">
        <x:v>CUAUHTEMOC</x:v>
      </x:c>
      <x:c r="B3171" t="str">
        <x:v>Cuauhtémoc</x:v>
      </x:c>
      <x:c r="C3171" t="str">
        <x:v>Hombre</x:v>
      </x:c>
      <x:c r="D3171" t="str">
        <x:v>b) 5 a 9 años</x:v>
      </x:c>
      <x:c r="E3171" s="1" t="n">
        <x:v>13971</x:v>
      </x:c>
    </x:row>
    <x:row r="3172">
      <x:c r="A3172" t="str">
        <x:v>CUAUHTEMOC</x:v>
      </x:c>
      <x:c r="B3172" t="str">
        <x:v>Cuauhtémoc</x:v>
      </x:c>
      <x:c r="C3172" t="str">
        <x:v>Hombre</x:v>
      </x:c>
      <x:c r="D3172" t="str">
        <x:v>c) 10 a 14 años</x:v>
      </x:c>
      <x:c r="E3172" s="1" t="n">
        <x:v>15217</x:v>
      </x:c>
    </x:row>
    <x:row r="3173">
      <x:c r="A3173" t="str">
        <x:v>CUAUHTEMOC</x:v>
      </x:c>
      <x:c r="B3173" t="str">
        <x:v>Cuauhtémoc</x:v>
      </x:c>
      <x:c r="C3173" t="str">
        <x:v>Hombre</x:v>
      </x:c>
      <x:c r="D3173" t="str">
        <x:v>d) 15 a 19 años</x:v>
      </x:c>
      <x:c r="E3173" s="1" t="n">
        <x:v>16162</x:v>
      </x:c>
    </x:row>
    <x:row r="3174">
      <x:c r="A3174" t="str">
        <x:v>CUAUHTEMOC</x:v>
      </x:c>
      <x:c r="B3174" t="str">
        <x:v>Cuauhtémoc</x:v>
      </x:c>
      <x:c r="C3174" t="str">
        <x:v>Hombre</x:v>
      </x:c>
      <x:c r="D3174" t="str">
        <x:v>e) 20 a 24 años</x:v>
      </x:c>
      <x:c r="E3174" s="1" t="n">
        <x:v>19045</x:v>
      </x:c>
    </x:row>
    <x:row r="3175">
      <x:c r="A3175" t="str">
        <x:v>CUAUHTEMOC</x:v>
      </x:c>
      <x:c r="B3175" t="str">
        <x:v>Cuauhtémoc</x:v>
      </x:c>
      <x:c r="C3175" t="str">
        <x:v>Hombre</x:v>
      </x:c>
      <x:c r="D3175" t="str">
        <x:v>f) 25 a 29 años</x:v>
      </x:c>
      <x:c r="E3175" s="1" t="n">
        <x:v>25021</x:v>
      </x:c>
    </x:row>
    <x:row r="3176">
      <x:c r="A3176" t="str">
        <x:v>CUAUHTEMOC</x:v>
      </x:c>
      <x:c r="B3176" t="str">
        <x:v>Cuauhtémoc</x:v>
      </x:c>
      <x:c r="C3176" t="str">
        <x:v>Hombre</x:v>
      </x:c>
      <x:c r="D3176" t="str">
        <x:v>g) 30 a 34 años</x:v>
      </x:c>
      <x:c r="E3176" s="1" t="n">
        <x:v>27072</x:v>
      </x:c>
    </x:row>
    <x:row r="3177">
      <x:c r="A3177" t="str">
        <x:v>CUAUHTEMOC</x:v>
      </x:c>
      <x:c r="B3177" t="str">
        <x:v>Cuauhtémoc</x:v>
      </x:c>
      <x:c r="C3177" t="str">
        <x:v>Hombre</x:v>
      </x:c>
      <x:c r="D3177" t="str">
        <x:v>h) 35 a 39 años</x:v>
      </x:c>
      <x:c r="E3177" s="1" t="n">
        <x:v>23744</x:v>
      </x:c>
    </x:row>
    <x:row r="3178">
      <x:c r="A3178" t="str">
        <x:v>CUAUHTEMOC</x:v>
      </x:c>
      <x:c r="B3178" t="str">
        <x:v>Cuauhtémoc</x:v>
      </x:c>
      <x:c r="C3178" t="str">
        <x:v>Hombre</x:v>
      </x:c>
      <x:c r="D3178" t="str">
        <x:v>i) 40 a 44 años</x:v>
      </x:c>
      <x:c r="E3178" s="1" t="n">
        <x:v>19976</x:v>
      </x:c>
    </x:row>
    <x:row r="3179">
      <x:c r="A3179" t="str">
        <x:v>CUAUHTEMOC</x:v>
      </x:c>
      <x:c r="B3179" t="str">
        <x:v>Cuauhtémoc</x:v>
      </x:c>
      <x:c r="C3179" t="str">
        <x:v>Hombre</x:v>
      </x:c>
      <x:c r="D3179" t="str">
        <x:v>j) 45 a 49 años</x:v>
      </x:c>
      <x:c r="E3179" s="1" t="n">
        <x:v>18634</x:v>
      </x:c>
    </x:row>
    <x:row r="3180">
      <x:c r="A3180" t="str">
        <x:v>CUAUHTEMOC</x:v>
      </x:c>
      <x:c r="B3180" t="str">
        <x:v>Cuauhtémoc</x:v>
      </x:c>
      <x:c r="C3180" t="str">
        <x:v>Hombre</x:v>
      </x:c>
      <x:c r="D3180" t="str">
        <x:v>k) 50 a 54 años</x:v>
      </x:c>
      <x:c r="E3180" s="1" t="n">
        <x:v>16398</x:v>
      </x:c>
    </x:row>
    <x:row r="3181">
      <x:c r="A3181" t="str">
        <x:v>CUAUHTEMOC</x:v>
      </x:c>
      <x:c r="B3181" t="str">
        <x:v>Cuauhtémoc</x:v>
      </x:c>
      <x:c r="C3181" t="str">
        <x:v>Hombre</x:v>
      </x:c>
      <x:c r="D3181" t="str">
        <x:v>l) 55 a 59 años</x:v>
      </x:c>
      <x:c r="E3181" s="1" t="n">
        <x:v>13993</x:v>
      </x:c>
    </x:row>
    <x:row r="3182">
      <x:c r="A3182" t="str">
        <x:v>CUAUHTEMOC</x:v>
      </x:c>
      <x:c r="B3182" t="str">
        <x:v>Cuauhtémoc</x:v>
      </x:c>
      <x:c r="C3182" t="str">
        <x:v>Hombre</x:v>
      </x:c>
      <x:c r="D3182" t="str">
        <x:v>m) 60 a 64 años</x:v>
      </x:c>
      <x:c r="E3182" s="1" t="n">
        <x:v>12776</x:v>
      </x:c>
    </x:row>
    <x:row r="3183">
      <x:c r="A3183" t="str">
        <x:v>CUAUHTEMOC</x:v>
      </x:c>
      <x:c r="B3183" t="str">
        <x:v>Cuauhtémoc</x:v>
      </x:c>
      <x:c r="C3183" t="str">
        <x:v>Hombre</x:v>
      </x:c>
      <x:c r="D3183" t="str">
        <x:v>n) 65 a 69 años</x:v>
      </x:c>
      <x:c r="E3183" s="1" t="n">
        <x:v>9666</x:v>
      </x:c>
    </x:row>
    <x:row r="3184">
      <x:c r="A3184" t="str">
        <x:v>CUAUHTEMOC</x:v>
      </x:c>
      <x:c r="B3184" t="str">
        <x:v>Cuauhtémoc</x:v>
      </x:c>
      <x:c r="C3184" t="str">
        <x:v>Hombre</x:v>
      </x:c>
      <x:c r="D3184" t="str">
        <x:v>o) 70 a 74 años</x:v>
      </x:c>
      <x:c r="E3184" s="1" t="n">
        <x:v>7036</x:v>
      </x:c>
    </x:row>
    <x:row r="3185">
      <x:c r="A3185" t="str">
        <x:v>CUAUHTEMOC</x:v>
      </x:c>
      <x:c r="B3185" t="str">
        <x:v>Cuauhtémoc</x:v>
      </x:c>
      <x:c r="C3185" t="str">
        <x:v>Hombre</x:v>
      </x:c>
      <x:c r="D3185" t="str">
        <x:v>p) 75 a 79 años</x:v>
      </x:c>
      <x:c r="E3185" s="1" t="n">
        <x:v>4341</x:v>
      </x:c>
    </x:row>
    <x:row r="3186">
      <x:c r="A3186" t="str">
        <x:v>CUAUHTEMOC</x:v>
      </x:c>
      <x:c r="B3186" t="str">
        <x:v>Cuauhtémoc</x:v>
      </x:c>
      <x:c r="C3186" t="str">
        <x:v>Hombre</x:v>
      </x:c>
      <x:c r="D3186" t="str">
        <x:v>q) 80 a 84 años</x:v>
      </x:c>
      <x:c r="E3186" s="1" t="n">
        <x:v>2705</x:v>
      </x:c>
    </x:row>
    <x:row r="3187">
      <x:c r="A3187" t="str">
        <x:v>CUAUHTEMOC</x:v>
      </x:c>
      <x:c r="B3187" t="str">
        <x:v>Cuauhtémoc</x:v>
      </x:c>
      <x:c r="C3187" t="str">
        <x:v>Hombre</x:v>
      </x:c>
      <x:c r="D3187" t="str">
        <x:v>r) 85 años y más</x:v>
      </x:c>
      <x:c r="E3187" s="1" t="n">
        <x:v>2139</x:v>
      </x:c>
    </x:row>
    <x:row r="3188">
      <x:c r="A3188" t="str">
        <x:v>CUAUHTEMOC</x:v>
      </x:c>
      <x:c r="B3188" t="str">
        <x:v>Cuauhtémoc</x:v>
      </x:c>
      <x:c r="C3188" t="str">
        <x:v>Mujer</x:v>
      </x:c>
      <x:c r="D3188" t="str">
        <x:v>a) 0 a 4 años</x:v>
      </x:c>
      <x:c r="E3188" s="1" t="n">
        <x:v>13005</x:v>
      </x:c>
    </x:row>
    <x:row r="3189">
      <x:c r="A3189" t="str">
        <x:v>CUAUHTEMOC</x:v>
      </x:c>
      <x:c r="B3189" t="str">
        <x:v>Cuauhtémoc</x:v>
      </x:c>
      <x:c r="C3189" t="str">
        <x:v>Mujer</x:v>
      </x:c>
      <x:c r="D3189" t="str">
        <x:v>b) 5 a 9 años</x:v>
      </x:c>
      <x:c r="E3189" s="1" t="n">
        <x:v>13559</x:v>
      </x:c>
    </x:row>
    <x:row r="3190">
      <x:c r="A3190" t="str">
        <x:v>CUAUHTEMOC</x:v>
      </x:c>
      <x:c r="B3190" t="str">
        <x:v>Cuauhtémoc</x:v>
      </x:c>
      <x:c r="C3190" t="str">
        <x:v>Mujer</x:v>
      </x:c>
      <x:c r="D3190" t="str">
        <x:v>c) 10 a 14 años</x:v>
      </x:c>
      <x:c r="E3190" s="1" t="n">
        <x:v>14690</x:v>
      </x:c>
    </x:row>
    <x:row r="3191">
      <x:c r="A3191" t="str">
        <x:v>CUAUHTEMOC</x:v>
      </x:c>
      <x:c r="B3191" t="str">
        <x:v>Cuauhtémoc</x:v>
      </x:c>
      <x:c r="C3191" t="str">
        <x:v>Mujer</x:v>
      </x:c>
      <x:c r="D3191" t="str">
        <x:v>d) 15 a 19 años</x:v>
      </x:c>
      <x:c r="E3191" s="1" t="n">
        <x:v>15628</x:v>
      </x:c>
    </x:row>
    <x:row r="3192">
      <x:c r="A3192" t="str">
        <x:v>CUAUHTEMOC</x:v>
      </x:c>
      <x:c r="B3192" t="str">
        <x:v>Cuauhtémoc</x:v>
      </x:c>
      <x:c r="C3192" t="str">
        <x:v>Mujer</x:v>
      </x:c>
      <x:c r="D3192" t="str">
        <x:v>e) 20 a 24 años</x:v>
      </x:c>
      <x:c r="E3192" s="1" t="n">
        <x:v>19252</x:v>
      </x:c>
    </x:row>
    <x:row r="3193">
      <x:c r="A3193" t="str">
        <x:v>CUAUHTEMOC</x:v>
      </x:c>
      <x:c r="B3193" t="str">
        <x:v>Cuauhtémoc</x:v>
      </x:c>
      <x:c r="C3193" t="str">
        <x:v>Mujer</x:v>
      </x:c>
      <x:c r="D3193" t="str">
        <x:v>f) 25 a 29 años</x:v>
      </x:c>
      <x:c r="E3193" s="1" t="n">
        <x:v>25150</x:v>
      </x:c>
    </x:row>
    <x:row r="3194">
      <x:c r="A3194" t="str">
        <x:v>CUAUHTEMOC</x:v>
      </x:c>
      <x:c r="B3194" t="str">
        <x:v>Cuauhtémoc</x:v>
      </x:c>
      <x:c r="C3194" t="str">
        <x:v>Mujer</x:v>
      </x:c>
      <x:c r="D3194" t="str">
        <x:v>g) 30 a 34 años</x:v>
      </x:c>
      <x:c r="E3194" s="1" t="n">
        <x:v>26745</x:v>
      </x:c>
    </x:row>
    <x:row r="3195">
      <x:c r="A3195" t="str">
        <x:v>CUAUHTEMOC</x:v>
      </x:c>
      <x:c r="B3195" t="str">
        <x:v>Cuauhtémoc</x:v>
      </x:c>
      <x:c r="C3195" t="str">
        <x:v>Mujer</x:v>
      </x:c>
      <x:c r="D3195" t="str">
        <x:v>h) 35 a 39 años</x:v>
      </x:c>
      <x:c r="E3195" s="1" t="n">
        <x:v>24149</x:v>
      </x:c>
    </x:row>
    <x:row r="3196">
      <x:c r="A3196" t="str">
        <x:v>CUAUHTEMOC</x:v>
      </x:c>
      <x:c r="B3196" t="str">
        <x:v>Cuauhtémoc</x:v>
      </x:c>
      <x:c r="C3196" t="str">
        <x:v>Mujer</x:v>
      </x:c>
      <x:c r="D3196" t="str">
        <x:v>i) 40 a 44 años</x:v>
      </x:c>
      <x:c r="E3196" s="1" t="n">
        <x:v>21015</x:v>
      </x:c>
    </x:row>
    <x:row r="3197">
      <x:c r="A3197" t="str">
        <x:v>CUAUHTEMOC</x:v>
      </x:c>
      <x:c r="B3197" t="str">
        <x:v>Cuauhtémoc</x:v>
      </x:c>
      <x:c r="C3197" t="str">
        <x:v>Mujer</x:v>
      </x:c>
      <x:c r="D3197" t="str">
        <x:v>j) 45 a 49 años</x:v>
      </x:c>
      <x:c r="E3197" s="1" t="n">
        <x:v>20138</x:v>
      </x:c>
    </x:row>
    <x:row r="3198">
      <x:c r="A3198" t="str">
        <x:v>CUAUHTEMOC</x:v>
      </x:c>
      <x:c r="B3198" t="str">
        <x:v>Cuauhtémoc</x:v>
      </x:c>
      <x:c r="C3198" t="str">
        <x:v>Mujer</x:v>
      </x:c>
      <x:c r="D3198" t="str">
        <x:v>k) 50 a 54 años</x:v>
      </x:c>
      <x:c r="E3198" s="1" t="n">
        <x:v>19334</x:v>
      </x:c>
    </x:row>
    <x:row r="3199">
      <x:c r="A3199" t="str">
        <x:v>CUAUHTEMOC</x:v>
      </x:c>
      <x:c r="B3199" t="str">
        <x:v>Cuauhtémoc</x:v>
      </x:c>
      <x:c r="C3199" t="str">
        <x:v>Mujer</x:v>
      </x:c>
      <x:c r="D3199" t="str">
        <x:v>l) 55 a 59 años</x:v>
      </x:c>
      <x:c r="E3199" s="1" t="n">
        <x:v>17084</x:v>
      </x:c>
    </x:row>
    <x:row r="3200">
      <x:c r="A3200" t="str">
        <x:v>CUAUHTEMOC</x:v>
      </x:c>
      <x:c r="B3200" t="str">
        <x:v>Cuauhtémoc</x:v>
      </x:c>
      <x:c r="C3200" t="str">
        <x:v>Mujer</x:v>
      </x:c>
      <x:c r="D3200" t="str">
        <x:v>m) 60 a 64 años</x:v>
      </x:c>
      <x:c r="E3200" s="1" t="n">
        <x:v>16742</x:v>
      </x:c>
    </x:row>
    <x:row r="3201">
      <x:c r="A3201" t="str">
        <x:v>CUAUHTEMOC</x:v>
      </x:c>
      <x:c r="B3201" t="str">
        <x:v>Cuauhtémoc</x:v>
      </x:c>
      <x:c r="C3201" t="str">
        <x:v>Mujer</x:v>
      </x:c>
      <x:c r="D3201" t="str">
        <x:v>n) 65 a 69 años</x:v>
      </x:c>
      <x:c r="E3201" s="1" t="n">
        <x:v>12671</x:v>
      </x:c>
    </x:row>
    <x:row r="3202">
      <x:c r="A3202" t="str">
        <x:v>CUAUHTEMOC</x:v>
      </x:c>
      <x:c r="B3202" t="str">
        <x:v>Cuauhtémoc</x:v>
      </x:c>
      <x:c r="C3202" t="str">
        <x:v>Mujer</x:v>
      </x:c>
      <x:c r="D3202" t="str">
        <x:v>o) 70 a 74 años</x:v>
      </x:c>
      <x:c r="E3202" s="1" t="n">
        <x:v>9884</x:v>
      </x:c>
    </x:row>
    <x:row r="3203">
      <x:c r="A3203" t="str">
        <x:v>CUAUHTEMOC</x:v>
      </x:c>
      <x:c r="B3203" t="str">
        <x:v>Cuauhtémoc</x:v>
      </x:c>
      <x:c r="C3203" t="str">
        <x:v>Mujer</x:v>
      </x:c>
      <x:c r="D3203" t="str">
        <x:v>p) 75 a 79 años</x:v>
      </x:c>
      <x:c r="E3203" s="1" t="n">
        <x:v>6478</x:v>
      </x:c>
    </x:row>
    <x:row r="3204">
      <x:c r="A3204" t="str">
        <x:v>CUAUHTEMOC</x:v>
      </x:c>
      <x:c r="B3204" t="str">
        <x:v>Cuauhtémoc</x:v>
      </x:c>
      <x:c r="C3204" t="str">
        <x:v>Mujer</x:v>
      </x:c>
      <x:c r="D3204" t="str">
        <x:v>q) 80 a 84 años</x:v>
      </x:c>
      <x:c r="E3204" s="1" t="n">
        <x:v>4863</x:v>
      </x:c>
    </x:row>
    <x:row r="3205">
      <x:c r="A3205" t="str">
        <x:v>CUAUHTEMOC</x:v>
      </x:c>
      <x:c r="B3205" t="str">
        <x:v>Cuauhtémoc</x:v>
      </x:c>
      <x:c r="C3205" t="str">
        <x:v>Mujer</x:v>
      </x:c>
      <x:c r="D3205" t="str">
        <x:v>r) 85 años y más</x:v>
      </x:c>
      <x:c r="E3205" s="1" t="n">
        <x:v>4508</x:v>
      </x:c>
    </x:row>
    <x:row r="3206">
      <x:c r="A3206" t="str">
        <x:v>MIGUEL HIDALGO</x:v>
      </x:c>
      <x:c r="B3206" t="str">
        <x:v>Miguel Hidalgo</x:v>
      </x:c>
      <x:c r="C3206" t="str">
        <x:v>Hombre</x:v>
      </x:c>
      <x:c r="D3206" t="str">
        <x:v>a) 0 a 4 años</x:v>
      </x:c>
      <x:c r="E3206" s="1" t="n">
        <x:v>10208</x:v>
      </x:c>
    </x:row>
    <x:row r="3207">
      <x:c r="A3207" t="str">
        <x:v>MIGUEL HIDALGO</x:v>
      </x:c>
      <x:c r="B3207" t="str">
        <x:v>Miguel Hidalgo</x:v>
      </x:c>
      <x:c r="C3207" t="str">
        <x:v>Hombre</x:v>
      </x:c>
      <x:c r="D3207" t="str">
        <x:v>b) 5 a 9 años</x:v>
      </x:c>
      <x:c r="E3207" s="1" t="n">
        <x:v>10517</x:v>
      </x:c>
    </x:row>
    <x:row r="3208">
      <x:c r="A3208" t="str">
        <x:v>MIGUEL HIDALGO</x:v>
      </x:c>
      <x:c r="B3208" t="str">
        <x:v>Miguel Hidalgo</x:v>
      </x:c>
      <x:c r="C3208" t="str">
        <x:v>Hombre</x:v>
      </x:c>
      <x:c r="D3208" t="str">
        <x:v>c) 10 a 14 años</x:v>
      </x:c>
      <x:c r="E3208" s="1" t="n">
        <x:v>10998</x:v>
      </x:c>
    </x:row>
    <x:row r="3209">
      <x:c r="A3209" t="str">
        <x:v>MIGUEL HIDALGO</x:v>
      </x:c>
      <x:c r="B3209" t="str">
        <x:v>Miguel Hidalgo</x:v>
      </x:c>
      <x:c r="C3209" t="str">
        <x:v>Hombre</x:v>
      </x:c>
      <x:c r="D3209" t="str">
        <x:v>d) 15 a 19 años</x:v>
      </x:c>
      <x:c r="E3209" s="1" t="n">
        <x:v>11337</x:v>
      </x:c>
    </x:row>
    <x:row r="3210">
      <x:c r="A3210" t="str">
        <x:v>MIGUEL HIDALGO</x:v>
      </x:c>
      <x:c r="B3210" t="str">
        <x:v>Miguel Hidalgo</x:v>
      </x:c>
      <x:c r="C3210" t="str">
        <x:v>Hombre</x:v>
      </x:c>
      <x:c r="D3210" t="str">
        <x:v>e) 20 a 24 años</x:v>
      </x:c>
      <x:c r="E3210" s="1" t="n">
        <x:v>13256</x:v>
      </x:c>
    </x:row>
    <x:row r="3211">
      <x:c r="A3211" t="str">
        <x:v>MIGUEL HIDALGO</x:v>
      </x:c>
      <x:c r="B3211" t="str">
        <x:v>Miguel Hidalgo</x:v>
      </x:c>
      <x:c r="C3211" t="str">
        <x:v>Hombre</x:v>
      </x:c>
      <x:c r="D3211" t="str">
        <x:v>f) 25 a 29 años</x:v>
      </x:c>
      <x:c r="E3211" s="1" t="n">
        <x:v>16511</x:v>
      </x:c>
    </x:row>
    <x:row r="3212">
      <x:c r="A3212" t="str">
        <x:v>MIGUEL HIDALGO</x:v>
      </x:c>
      <x:c r="B3212" t="str">
        <x:v>Miguel Hidalgo</x:v>
      </x:c>
      <x:c r="C3212" t="str">
        <x:v>Hombre</x:v>
      </x:c>
      <x:c r="D3212" t="str">
        <x:v>g) 30 a 34 años</x:v>
      </x:c>
      <x:c r="E3212" s="1" t="n">
        <x:v>18650</x:v>
      </x:c>
    </x:row>
    <x:row r="3213">
      <x:c r="A3213" t="str">
        <x:v>MIGUEL HIDALGO</x:v>
      </x:c>
      <x:c r="B3213" t="str">
        <x:v>Miguel Hidalgo</x:v>
      </x:c>
      <x:c r="C3213" t="str">
        <x:v>Hombre</x:v>
      </x:c>
      <x:c r="D3213" t="str">
        <x:v>h) 35 a 39 años</x:v>
      </x:c>
      <x:c r="E3213" s="1" t="n">
        <x:v>17544</x:v>
      </x:c>
    </x:row>
    <x:row r="3214">
      <x:c r="A3214" t="str">
        <x:v>MIGUEL HIDALGO</x:v>
      </x:c>
      <x:c r="B3214" t="str">
        <x:v>Miguel Hidalgo</x:v>
      </x:c>
      <x:c r="C3214" t="str">
        <x:v>Hombre</x:v>
      </x:c>
      <x:c r="D3214" t="str">
        <x:v>i) 40 a 44 años</x:v>
      </x:c>
      <x:c r="E3214" s="1" t="n">
        <x:v>15640</x:v>
      </x:c>
    </x:row>
    <x:row r="3215">
      <x:c r="A3215" t="str">
        <x:v>MIGUEL HIDALGO</x:v>
      </x:c>
      <x:c r="B3215" t="str">
        <x:v>Miguel Hidalgo</x:v>
      </x:c>
      <x:c r="C3215" t="str">
        <x:v>Hombre</x:v>
      </x:c>
      <x:c r="D3215" t="str">
        <x:v>j) 45 a 49 años</x:v>
      </x:c>
      <x:c r="E3215" s="1" t="n">
        <x:v>14744</x:v>
      </x:c>
    </x:row>
    <x:row r="3216">
      <x:c r="A3216" t="str">
        <x:v>MIGUEL HIDALGO</x:v>
      </x:c>
      <x:c r="B3216" t="str">
        <x:v>Miguel Hidalgo</x:v>
      </x:c>
      <x:c r="C3216" t="str">
        <x:v>Hombre</x:v>
      </x:c>
      <x:c r="D3216" t="str">
        <x:v>k) 50 a 54 años</x:v>
      </x:c>
      <x:c r="E3216" s="1" t="n">
        <x:v>12846</x:v>
      </x:c>
    </x:row>
    <x:row r="3217">
      <x:c r="A3217" t="str">
        <x:v>MIGUEL HIDALGO</x:v>
      </x:c>
      <x:c r="B3217" t="str">
        <x:v>Miguel Hidalgo</x:v>
      </x:c>
      <x:c r="C3217" t="str">
        <x:v>Hombre</x:v>
      </x:c>
      <x:c r="D3217" t="str">
        <x:v>l) 55 a 59 años</x:v>
      </x:c>
      <x:c r="E3217" s="1" t="n">
        <x:v>10748</x:v>
      </x:c>
    </x:row>
    <x:row r="3218">
      <x:c r="A3218" t="str">
        <x:v>MIGUEL HIDALGO</x:v>
      </x:c>
      <x:c r="B3218" t="str">
        <x:v>Miguel Hidalgo</x:v>
      </x:c>
      <x:c r="C3218" t="str">
        <x:v>Hombre</x:v>
      </x:c>
      <x:c r="D3218" t="str">
        <x:v>m) 60 a 64 años</x:v>
      </x:c>
      <x:c r="E3218" s="1" t="n">
        <x:v>9198</x:v>
      </x:c>
    </x:row>
    <x:row r="3219">
      <x:c r="A3219" t="str">
        <x:v>MIGUEL HIDALGO</x:v>
      </x:c>
      <x:c r="B3219" t="str">
        <x:v>Miguel Hidalgo</x:v>
      </x:c>
      <x:c r="C3219" t="str">
        <x:v>Hombre</x:v>
      </x:c>
      <x:c r="D3219" t="str">
        <x:v>n) 65 a 69 años</x:v>
      </x:c>
      <x:c r="E3219" s="1" t="n">
        <x:v>7139</x:v>
      </x:c>
    </x:row>
    <x:row r="3220">
      <x:c r="A3220" t="str">
        <x:v>MIGUEL HIDALGO</x:v>
      </x:c>
      <x:c r="B3220" t="str">
        <x:v>Miguel Hidalgo</x:v>
      </x:c>
      <x:c r="C3220" t="str">
        <x:v>Hombre</x:v>
      </x:c>
      <x:c r="D3220" t="str">
        <x:v>o) 70 a 74 años</x:v>
      </x:c>
      <x:c r="E3220" s="1" t="n">
        <x:v>5254</x:v>
      </x:c>
    </x:row>
    <x:row r="3221">
      <x:c r="A3221" t="str">
        <x:v>MIGUEL HIDALGO</x:v>
      </x:c>
      <x:c r="B3221" t="str">
        <x:v>Miguel Hidalgo</x:v>
      </x:c>
      <x:c r="C3221" t="str">
        <x:v>Hombre</x:v>
      </x:c>
      <x:c r="D3221" t="str">
        <x:v>p) 75 a 79 años</x:v>
      </x:c>
      <x:c r="E3221" s="1" t="n">
        <x:v>3613</x:v>
      </x:c>
    </x:row>
    <x:row r="3222">
      <x:c r="A3222" t="str">
        <x:v>MIGUEL HIDALGO</x:v>
      </x:c>
      <x:c r="B3222" t="str">
        <x:v>Miguel Hidalgo</x:v>
      </x:c>
      <x:c r="C3222" t="str">
        <x:v>Hombre</x:v>
      </x:c>
      <x:c r="D3222" t="str">
        <x:v>q) 80 a 84 años</x:v>
      </x:c>
      <x:c r="E3222" s="1" t="n">
        <x:v>2342</x:v>
      </x:c>
    </x:row>
    <x:row r="3223">
      <x:c r="A3223" t="str">
        <x:v>MIGUEL HIDALGO</x:v>
      </x:c>
      <x:c r="B3223" t="str">
        <x:v>Miguel Hidalgo</x:v>
      </x:c>
      <x:c r="C3223" t="str">
        <x:v>Hombre</x:v>
      </x:c>
      <x:c r="D3223" t="str">
        <x:v>r) 85 años y más</x:v>
      </x:c>
      <x:c r="E3223" s="1" t="n">
        <x:v>1960</x:v>
      </x:c>
    </x:row>
    <x:row r="3224">
      <x:c r="A3224" t="str">
        <x:v>MIGUEL HIDALGO</x:v>
      </x:c>
      <x:c r="B3224" t="str">
        <x:v>Miguel Hidalgo</x:v>
      </x:c>
      <x:c r="C3224" t="str">
        <x:v>Mujer</x:v>
      </x:c>
      <x:c r="D3224" t="str">
        <x:v>a) 0 a 4 años</x:v>
      </x:c>
      <x:c r="E3224" s="1" t="n">
        <x:v>9771</x:v>
      </x:c>
    </x:row>
    <x:row r="3225">
      <x:c r="A3225" t="str">
        <x:v>MIGUEL HIDALGO</x:v>
      </x:c>
      <x:c r="B3225" t="str">
        <x:v>Miguel Hidalgo</x:v>
      </x:c>
      <x:c r="C3225" t="str">
        <x:v>Mujer</x:v>
      </x:c>
      <x:c r="D3225" t="str">
        <x:v>b) 5 a 9 años</x:v>
      </x:c>
      <x:c r="E3225" s="1" t="n">
        <x:v>10357</x:v>
      </x:c>
    </x:row>
    <x:row r="3226">
      <x:c r="A3226" t="str">
        <x:v>MIGUEL HIDALGO</x:v>
      </x:c>
      <x:c r="B3226" t="str">
        <x:v>Miguel Hidalgo</x:v>
      </x:c>
      <x:c r="C3226" t="str">
        <x:v>Mujer</x:v>
      </x:c>
      <x:c r="D3226" t="str">
        <x:v>c) 10 a 14 años</x:v>
      </x:c>
      <x:c r="E3226" s="1" t="n">
        <x:v>10644</x:v>
      </x:c>
    </x:row>
    <x:row r="3227">
      <x:c r="A3227" t="str">
        <x:v>MIGUEL HIDALGO</x:v>
      </x:c>
      <x:c r="B3227" t="str">
        <x:v>Miguel Hidalgo</x:v>
      </x:c>
      <x:c r="C3227" t="str">
        <x:v>Mujer</x:v>
      </x:c>
      <x:c r="D3227" t="str">
        <x:v>d) 15 a 19 años</x:v>
      </x:c>
      <x:c r="E3227" s="1" t="n">
        <x:v>11257</x:v>
      </x:c>
    </x:row>
    <x:row r="3228">
      <x:c r="A3228" t="str">
        <x:v>MIGUEL HIDALGO</x:v>
      </x:c>
      <x:c r="B3228" t="str">
        <x:v>Miguel Hidalgo</x:v>
      </x:c>
      <x:c r="C3228" t="str">
        <x:v>Mujer</x:v>
      </x:c>
      <x:c r="D3228" t="str">
        <x:v>e) 20 a 24 años</x:v>
      </x:c>
      <x:c r="E3228" s="1" t="n">
        <x:v>13788</x:v>
      </x:c>
    </x:row>
    <x:row r="3229">
      <x:c r="A3229" t="str">
        <x:v>MIGUEL HIDALGO</x:v>
      </x:c>
      <x:c r="B3229" t="str">
        <x:v>Miguel Hidalgo</x:v>
      </x:c>
      <x:c r="C3229" t="str">
        <x:v>Mujer</x:v>
      </x:c>
      <x:c r="D3229" t="str">
        <x:v>f) 25 a 29 años</x:v>
      </x:c>
      <x:c r="E3229" s="1" t="n">
        <x:v>18160</x:v>
      </x:c>
    </x:row>
    <x:row r="3230">
      <x:c r="A3230" t="str">
        <x:v>MIGUEL HIDALGO</x:v>
      </x:c>
      <x:c r="B3230" t="str">
        <x:v>Miguel Hidalgo</x:v>
      </x:c>
      <x:c r="C3230" t="str">
        <x:v>Mujer</x:v>
      </x:c>
      <x:c r="D3230" t="str">
        <x:v>g) 30 a 34 años</x:v>
      </x:c>
      <x:c r="E3230" s="1" t="n">
        <x:v>19953</x:v>
      </x:c>
    </x:row>
    <x:row r="3231">
      <x:c r="A3231" t="str">
        <x:v>MIGUEL HIDALGO</x:v>
      </x:c>
      <x:c r="B3231" t="str">
        <x:v>Miguel Hidalgo</x:v>
      </x:c>
      <x:c r="C3231" t="str">
        <x:v>Mujer</x:v>
      </x:c>
      <x:c r="D3231" t="str">
        <x:v>h) 35 a 39 años</x:v>
      </x:c>
      <x:c r="E3231" s="1" t="n">
        <x:v>18658</x:v>
      </x:c>
    </x:row>
    <x:row r="3232">
      <x:c r="A3232" t="str">
        <x:v>MIGUEL HIDALGO</x:v>
      </x:c>
      <x:c r="B3232" t="str">
        <x:v>Miguel Hidalgo</x:v>
      </x:c>
      <x:c r="C3232" t="str">
        <x:v>Mujer</x:v>
      </x:c>
      <x:c r="D3232" t="str">
        <x:v>i) 40 a 44 años</x:v>
      </x:c>
      <x:c r="E3232" s="1" t="n">
        <x:v>17508</x:v>
      </x:c>
    </x:row>
    <x:row r="3233">
      <x:c r="A3233" t="str">
        <x:v>MIGUEL HIDALGO</x:v>
      </x:c>
      <x:c r="B3233" t="str">
        <x:v>Miguel Hidalgo</x:v>
      </x:c>
      <x:c r="C3233" t="str">
        <x:v>Mujer</x:v>
      </x:c>
      <x:c r="D3233" t="str">
        <x:v>j) 45 a 49 años</x:v>
      </x:c>
      <x:c r="E3233" s="1" t="n">
        <x:v>16498</x:v>
      </x:c>
    </x:row>
    <x:row r="3234">
      <x:c r="A3234" t="str">
        <x:v>MIGUEL HIDALGO</x:v>
      </x:c>
      <x:c r="B3234" t="str">
        <x:v>Miguel Hidalgo</x:v>
      </x:c>
      <x:c r="C3234" t="str">
        <x:v>Mujer</x:v>
      </x:c>
      <x:c r="D3234" t="str">
        <x:v>k) 50 a 54 años</x:v>
      </x:c>
      <x:c r="E3234" s="1" t="n">
        <x:v>14962</x:v>
      </x:c>
    </x:row>
    <x:row r="3235">
      <x:c r="A3235" t="str">
        <x:v>MIGUEL HIDALGO</x:v>
      </x:c>
      <x:c r="B3235" t="str">
        <x:v>Miguel Hidalgo</x:v>
      </x:c>
      <x:c r="C3235" t="str">
        <x:v>Mujer</x:v>
      </x:c>
      <x:c r="D3235" t="str">
        <x:v>l) 55 a 59 años</x:v>
      </x:c>
      <x:c r="E3235" s="1" t="n">
        <x:v>12878</x:v>
      </x:c>
    </x:row>
    <x:row r="3236">
      <x:c r="A3236" t="str">
        <x:v>MIGUEL HIDALGO</x:v>
      </x:c>
      <x:c r="B3236" t="str">
        <x:v>Miguel Hidalgo</x:v>
      </x:c>
      <x:c r="C3236" t="str">
        <x:v>Mujer</x:v>
      </x:c>
      <x:c r="D3236" t="str">
        <x:v>m) 60 a 64 años</x:v>
      </x:c>
      <x:c r="E3236" s="1" t="n">
        <x:v>11730</x:v>
      </x:c>
    </x:row>
    <x:row r="3237">
      <x:c r="A3237" t="str">
        <x:v>MIGUEL HIDALGO</x:v>
      </x:c>
      <x:c r="B3237" t="str">
        <x:v>Miguel Hidalgo</x:v>
      </x:c>
      <x:c r="C3237" t="str">
        <x:v>Mujer</x:v>
      </x:c>
      <x:c r="D3237" t="str">
        <x:v>n) 65 a 69 años</x:v>
      </x:c>
      <x:c r="E3237" s="1" t="n">
        <x:v>9186</x:v>
      </x:c>
    </x:row>
    <x:row r="3238">
      <x:c r="A3238" t="str">
        <x:v>MIGUEL HIDALGO</x:v>
      </x:c>
      <x:c r="B3238" t="str">
        <x:v>Miguel Hidalgo</x:v>
      </x:c>
      <x:c r="C3238" t="str">
        <x:v>Mujer</x:v>
      </x:c>
      <x:c r="D3238" t="str">
        <x:v>o) 70 a 74 años</x:v>
      </x:c>
      <x:c r="E3238" s="1" t="n">
        <x:v>7429</x:v>
      </x:c>
    </x:row>
    <x:row r="3239">
      <x:c r="A3239" t="str">
        <x:v>MIGUEL HIDALGO</x:v>
      </x:c>
      <x:c r="B3239" t="str">
        <x:v>Miguel Hidalgo</x:v>
      </x:c>
      <x:c r="C3239" t="str">
        <x:v>Mujer</x:v>
      </x:c>
      <x:c r="D3239" t="str">
        <x:v>p) 75 a 79 años</x:v>
      </x:c>
      <x:c r="E3239" s="1" t="n">
        <x:v>5347</x:v>
      </x:c>
    </x:row>
    <x:row r="3240">
      <x:c r="A3240" t="str">
        <x:v>MIGUEL HIDALGO</x:v>
      </x:c>
      <x:c r="B3240" t="str">
        <x:v>Miguel Hidalgo</x:v>
      </x:c>
      <x:c r="C3240" t="str">
        <x:v>Mujer</x:v>
      </x:c>
      <x:c r="D3240" t="str">
        <x:v>q) 80 a 84 años</x:v>
      </x:c>
      <x:c r="E3240" s="1" t="n">
        <x:v>3837</x:v>
      </x:c>
    </x:row>
    <x:row r="3241">
      <x:c r="A3241" t="str">
        <x:v>MIGUEL HIDALGO</x:v>
      </x:c>
      <x:c r="B3241" t="str">
        <x:v>Miguel Hidalgo</x:v>
      </x:c>
      <x:c r="C3241" t="str">
        <x:v>Mujer</x:v>
      </x:c>
      <x:c r="D3241" t="str">
        <x:v>r) 85 años y más</x:v>
      </x:c>
      <x:c r="E3241" s="1" t="n">
        <x:v>4076</x:v>
      </x:c>
    </x:row>
    <x:row r="3242">
      <x:c r="A3242" t="str">
        <x:v>VENUSTIANO CARRANZA</x:v>
      </x:c>
      <x:c r="B3242" t="str">
        <x:v>Venustiano Carranza</x:v>
      </x:c>
      <x:c r="C3242" t="str">
        <x:v>Hombre</x:v>
      </x:c>
      <x:c r="D3242" t="str">
        <x:v>a) 0 a 4 años</x:v>
      </x:c>
      <x:c r="E3242" s="1" t="n">
        <x:v>11659</x:v>
      </x:c>
    </x:row>
    <x:row r="3243">
      <x:c r="A3243" t="str">
        <x:v>VENUSTIANO CARRANZA</x:v>
      </x:c>
      <x:c r="B3243" t="str">
        <x:v>Venustiano Carranza</x:v>
      </x:c>
      <x:c r="C3243" t="str">
        <x:v>Hombre</x:v>
      </x:c>
      <x:c r="D3243" t="str">
        <x:v>b) 5 a 9 años</x:v>
      </x:c>
      <x:c r="E3243" s="1" t="n">
        <x:v>13651</x:v>
      </x:c>
    </x:row>
    <x:row r="3244">
      <x:c r="A3244" t="str">
        <x:v>VENUSTIANO CARRANZA</x:v>
      </x:c>
      <x:c r="B3244" t="str">
        <x:v>Venustiano Carranza</x:v>
      </x:c>
      <x:c r="C3244" t="str">
        <x:v>Hombre</x:v>
      </x:c>
      <x:c r="D3244" t="str">
        <x:v>c) 10 a 14 años</x:v>
      </x:c>
      <x:c r="E3244" s="1" t="n">
        <x:v>14407</x:v>
      </x:c>
    </x:row>
    <x:row r="3245">
      <x:c r="A3245" t="str">
        <x:v>VENUSTIANO CARRANZA</x:v>
      </x:c>
      <x:c r="B3245" t="str">
        <x:v>Venustiano Carranza</x:v>
      </x:c>
      <x:c r="C3245" t="str">
        <x:v>Hombre</x:v>
      </x:c>
      <x:c r="D3245" t="str">
        <x:v>d) 15 a 19 años</x:v>
      </x:c>
      <x:c r="E3245" s="1" t="n">
        <x:v>15235</x:v>
      </x:c>
    </x:row>
    <x:row r="3246">
      <x:c r="A3246" t="str">
        <x:v>VENUSTIANO CARRANZA</x:v>
      </x:c>
      <x:c r="B3246" t="str">
        <x:v>Venustiano Carranza</x:v>
      </x:c>
      <x:c r="C3246" t="str">
        <x:v>Hombre</x:v>
      </x:c>
      <x:c r="D3246" t="str">
        <x:v>e) 20 a 24 años</x:v>
      </x:c>
      <x:c r="E3246" s="1" t="n">
        <x:v>16603</x:v>
      </x:c>
    </x:row>
    <x:row r="3247">
      <x:c r="A3247" t="str">
        <x:v>VENUSTIANO CARRANZA</x:v>
      </x:c>
      <x:c r="B3247" t="str">
        <x:v>Venustiano Carranza</x:v>
      </x:c>
      <x:c r="C3247" t="str">
        <x:v>Hombre</x:v>
      </x:c>
      <x:c r="D3247" t="str">
        <x:v>f) 25 a 29 años</x:v>
      </x:c>
      <x:c r="E3247" s="1" t="n">
        <x:v>17227</x:v>
      </x:c>
    </x:row>
    <x:row r="3248">
      <x:c r="A3248" t="str">
        <x:v>VENUSTIANO CARRANZA</x:v>
      </x:c>
      <x:c r="B3248" t="str">
        <x:v>Venustiano Carranza</x:v>
      </x:c>
      <x:c r="C3248" t="str">
        <x:v>Hombre</x:v>
      </x:c>
      <x:c r="D3248" t="str">
        <x:v>g) 30 a 34 años</x:v>
      </x:c>
      <x:c r="E3248" s="1" t="n">
        <x:v>16711</x:v>
      </x:c>
    </x:row>
    <x:row r="3249">
      <x:c r="A3249" t="str">
        <x:v>VENUSTIANO CARRANZA</x:v>
      </x:c>
      <x:c r="B3249" t="str">
        <x:v>Venustiano Carranza</x:v>
      </x:c>
      <x:c r="C3249" t="str">
        <x:v>Hombre</x:v>
      </x:c>
      <x:c r="D3249" t="str">
        <x:v>h) 35 a 39 años</x:v>
      </x:c>
      <x:c r="E3249" s="1" t="n">
        <x:v>15692</x:v>
      </x:c>
    </x:row>
    <x:row r="3250">
      <x:c r="A3250" t="str">
        <x:v>VENUSTIANO CARRANZA</x:v>
      </x:c>
      <x:c r="B3250" t="str">
        <x:v>Venustiano Carranza</x:v>
      </x:c>
      <x:c r="C3250" t="str">
        <x:v>Hombre</x:v>
      </x:c>
      <x:c r="D3250" t="str">
        <x:v>i) 40 a 44 años</x:v>
      </x:c>
      <x:c r="E3250" s="1" t="n">
        <x:v>14622</x:v>
      </x:c>
    </x:row>
    <x:row r="3251">
      <x:c r="A3251" t="str">
        <x:v>VENUSTIANO CARRANZA</x:v>
      </x:c>
      <x:c r="B3251" t="str">
        <x:v>Venustiano Carranza</x:v>
      </x:c>
      <x:c r="C3251" t="str">
        <x:v>Hombre</x:v>
      </x:c>
      <x:c r="D3251" t="str">
        <x:v>j) 45 a 49 años</x:v>
      </x:c>
      <x:c r="E3251" s="1" t="n">
        <x:v>14816</x:v>
      </x:c>
    </x:row>
    <x:row r="3252">
      <x:c r="A3252" t="str">
        <x:v>VENUSTIANO CARRANZA</x:v>
      </x:c>
      <x:c r="B3252" t="str">
        <x:v>Venustiano Carranza</x:v>
      </x:c>
      <x:c r="C3252" t="str">
        <x:v>Hombre</x:v>
      </x:c>
      <x:c r="D3252" t="str">
        <x:v>k) 50 a 54 años</x:v>
      </x:c>
      <x:c r="E3252" s="1" t="n">
        <x:v>13966</x:v>
      </x:c>
    </x:row>
    <x:row r="3253">
      <x:c r="A3253" t="str">
        <x:v>VENUSTIANO CARRANZA</x:v>
      </x:c>
      <x:c r="B3253" t="str">
        <x:v>Venustiano Carranza</x:v>
      </x:c>
      <x:c r="C3253" t="str">
        <x:v>Hombre</x:v>
      </x:c>
      <x:c r="D3253" t="str">
        <x:v>l) 55 a 59 años</x:v>
      </x:c>
      <x:c r="E3253" s="1" t="n">
        <x:v>12307</x:v>
      </x:c>
    </x:row>
    <x:row r="3254">
      <x:c r="A3254" t="str">
        <x:v>VENUSTIANO CARRANZA</x:v>
      </x:c>
      <x:c r="B3254" t="str">
        <x:v>Venustiano Carranza</x:v>
      </x:c>
      <x:c r="C3254" t="str">
        <x:v>Hombre</x:v>
      </x:c>
      <x:c r="D3254" t="str">
        <x:v>m) 60 a 64 años</x:v>
      </x:c>
      <x:c r="E3254" s="1" t="n">
        <x:v>10937</x:v>
      </x:c>
    </x:row>
    <x:row r="3255">
      <x:c r="A3255" t="str">
        <x:v>VENUSTIANO CARRANZA</x:v>
      </x:c>
      <x:c r="B3255" t="str">
        <x:v>Venustiano Carranza</x:v>
      </x:c>
      <x:c r="C3255" t="str">
        <x:v>Hombre</x:v>
      </x:c>
      <x:c r="D3255" t="str">
        <x:v>n) 65 a 69 años</x:v>
      </x:c>
      <x:c r="E3255" s="1" t="n">
        <x:v>7985</x:v>
      </x:c>
    </x:row>
    <x:row r="3256">
      <x:c r="A3256" t="str">
        <x:v>VENUSTIANO CARRANZA</x:v>
      </x:c>
      <x:c r="B3256" t="str">
        <x:v>Venustiano Carranza</x:v>
      </x:c>
      <x:c r="C3256" t="str">
        <x:v>Hombre</x:v>
      </x:c>
      <x:c r="D3256" t="str">
        <x:v>o) 70 a 74 años</x:v>
      </x:c>
      <x:c r="E3256" s="1" t="n">
        <x:v>5765</x:v>
      </x:c>
    </x:row>
    <x:row r="3257">
      <x:c r="A3257" t="str">
        <x:v>VENUSTIANO CARRANZA</x:v>
      </x:c>
      <x:c r="B3257" t="str">
        <x:v>Venustiano Carranza</x:v>
      </x:c>
      <x:c r="C3257" t="str">
        <x:v>Hombre</x:v>
      </x:c>
      <x:c r="D3257" t="str">
        <x:v>p) 75 a 79 años</x:v>
      </x:c>
      <x:c r="E3257" s="1" t="n">
        <x:v>3738</x:v>
      </x:c>
    </x:row>
    <x:row r="3258">
      <x:c r="A3258" t="str">
        <x:v>VENUSTIANO CARRANZA</x:v>
      </x:c>
      <x:c r="B3258" t="str">
        <x:v>Venustiano Carranza</x:v>
      </x:c>
      <x:c r="C3258" t="str">
        <x:v>Hombre</x:v>
      </x:c>
      <x:c r="D3258" t="str">
        <x:v>q) 80 a 84 años</x:v>
      </x:c>
      <x:c r="E3258" s="1" t="n">
        <x:v>2488</x:v>
      </x:c>
    </x:row>
    <x:row r="3259">
      <x:c r="A3259" t="str">
        <x:v>VENUSTIANO CARRANZA</x:v>
      </x:c>
      <x:c r="B3259" t="str">
        <x:v>Venustiano Carranza</x:v>
      </x:c>
      <x:c r="C3259" t="str">
        <x:v>Hombre</x:v>
      </x:c>
      <x:c r="D3259" t="str">
        <x:v>r) 85 años y más</x:v>
      </x:c>
      <x:c r="E3259" s="1" t="n">
        <x:v>2104</x:v>
      </x:c>
    </x:row>
    <x:row r="3260">
      <x:c r="A3260" t="str">
        <x:v>VENUSTIANO CARRANZA</x:v>
      </x:c>
      <x:c r="B3260" t="str">
        <x:v>Venustiano Carranza</x:v>
      </x:c>
      <x:c r="C3260" t="str">
        <x:v>Mujer</x:v>
      </x:c>
      <x:c r="D3260" t="str">
        <x:v>a) 0 a 4 años</x:v>
      </x:c>
      <x:c r="E3260" s="1" t="n">
        <x:v>11488</x:v>
      </x:c>
    </x:row>
    <x:row r="3261">
      <x:c r="A3261" t="str">
        <x:v>VENUSTIANO CARRANZA</x:v>
      </x:c>
      <x:c r="B3261" t="str">
        <x:v>Venustiano Carranza</x:v>
      </x:c>
      <x:c r="C3261" t="str">
        <x:v>Mujer</x:v>
      </x:c>
      <x:c r="D3261" t="str">
        <x:v>b) 5 a 9 años</x:v>
      </x:c>
      <x:c r="E3261" s="1" t="n">
        <x:v>13109</x:v>
      </x:c>
    </x:row>
    <x:row r="3262">
      <x:c r="A3262" t="str">
        <x:v>VENUSTIANO CARRANZA</x:v>
      </x:c>
      <x:c r="B3262" t="str">
        <x:v>Venustiano Carranza</x:v>
      </x:c>
      <x:c r="C3262" t="str">
        <x:v>Mujer</x:v>
      </x:c>
      <x:c r="D3262" t="str">
        <x:v>c) 10 a 14 años</x:v>
      </x:c>
      <x:c r="E3262" s="1" t="n">
        <x:v>13767</x:v>
      </x:c>
    </x:row>
    <x:row r="3263">
      <x:c r="A3263" t="str">
        <x:v>VENUSTIANO CARRANZA</x:v>
      </x:c>
      <x:c r="B3263" t="str">
        <x:v>Venustiano Carranza</x:v>
      </x:c>
      <x:c r="C3263" t="str">
        <x:v>Mujer</x:v>
      </x:c>
      <x:c r="D3263" t="str">
        <x:v>d) 15 a 19 años</x:v>
      </x:c>
      <x:c r="E3263" s="1" t="n">
        <x:v>14875</x:v>
      </x:c>
    </x:row>
    <x:row r="3264">
      <x:c r="A3264" t="str">
        <x:v>VENUSTIANO CARRANZA</x:v>
      </x:c>
      <x:c r="B3264" t="str">
        <x:v>Venustiano Carranza</x:v>
      </x:c>
      <x:c r="C3264" t="str">
        <x:v>Mujer</x:v>
      </x:c>
      <x:c r="D3264" t="str">
        <x:v>e) 20 a 24 años</x:v>
      </x:c>
      <x:c r="E3264" s="1" t="n">
        <x:v>16380</x:v>
      </x:c>
    </x:row>
    <x:row r="3265">
      <x:c r="A3265" t="str">
        <x:v>VENUSTIANO CARRANZA</x:v>
      </x:c>
      <x:c r="B3265" t="str">
        <x:v>Venustiano Carranza</x:v>
      </x:c>
      <x:c r="C3265" t="str">
        <x:v>Mujer</x:v>
      </x:c>
      <x:c r="D3265" t="str">
        <x:v>f) 25 a 29 años</x:v>
      </x:c>
      <x:c r="E3265" s="1" t="n">
        <x:v>17693</x:v>
      </x:c>
    </x:row>
    <x:row r="3266">
      <x:c r="A3266" t="str">
        <x:v>VENUSTIANO CARRANZA</x:v>
      </x:c>
      <x:c r="B3266" t="str">
        <x:v>Venustiano Carranza</x:v>
      </x:c>
      <x:c r="C3266" t="str">
        <x:v>Mujer</x:v>
      </x:c>
      <x:c r="D3266" t="str">
        <x:v>g) 30 a 34 años</x:v>
      </x:c>
      <x:c r="E3266" s="1" t="n">
        <x:v>17730</x:v>
      </x:c>
    </x:row>
    <x:row r="3267">
      <x:c r="A3267" t="str">
        <x:v>VENUSTIANO CARRANZA</x:v>
      </x:c>
      <x:c r="B3267" t="str">
        <x:v>Venustiano Carranza</x:v>
      </x:c>
      <x:c r="C3267" t="str">
        <x:v>Mujer</x:v>
      </x:c>
      <x:c r="D3267" t="str">
        <x:v>h) 35 a 39 años</x:v>
      </x:c>
      <x:c r="E3267" s="1" t="n">
        <x:v>17029</x:v>
      </x:c>
    </x:row>
    <x:row r="3268">
      <x:c r="A3268" t="str">
        <x:v>VENUSTIANO CARRANZA</x:v>
      </x:c>
      <x:c r="B3268" t="str">
        <x:v>Venustiano Carranza</x:v>
      </x:c>
      <x:c r="C3268" t="str">
        <x:v>Mujer</x:v>
      </x:c>
      <x:c r="D3268" t="str">
        <x:v>i) 40 a 44 años</x:v>
      </x:c>
      <x:c r="E3268" s="1" t="n">
        <x:v>16594</x:v>
      </x:c>
    </x:row>
    <x:row r="3269">
      <x:c r="A3269" t="str">
        <x:v>VENUSTIANO CARRANZA</x:v>
      </x:c>
      <x:c r="B3269" t="str">
        <x:v>Venustiano Carranza</x:v>
      </x:c>
      <x:c r="C3269" t="str">
        <x:v>Mujer</x:v>
      </x:c>
      <x:c r="D3269" t="str">
        <x:v>j) 45 a 49 años</x:v>
      </x:c>
      <x:c r="E3269" s="1" t="n">
        <x:v>17030</x:v>
      </x:c>
    </x:row>
    <x:row r="3270">
      <x:c r="A3270" t="str">
        <x:v>VENUSTIANO CARRANZA</x:v>
      </x:c>
      <x:c r="B3270" t="str">
        <x:v>Venustiano Carranza</x:v>
      </x:c>
      <x:c r="C3270" t="str">
        <x:v>Mujer</x:v>
      </x:c>
      <x:c r="D3270" t="str">
        <x:v>k) 50 a 54 años</x:v>
      </x:c>
      <x:c r="E3270" s="1" t="n">
        <x:v>16838</x:v>
      </x:c>
    </x:row>
    <x:row r="3271">
      <x:c r="A3271" t="str">
        <x:v>VENUSTIANO CARRANZA</x:v>
      </x:c>
      <x:c r="B3271" t="str">
        <x:v>Venustiano Carranza</x:v>
      </x:c>
      <x:c r="C3271" t="str">
        <x:v>Mujer</x:v>
      </x:c>
      <x:c r="D3271" t="str">
        <x:v>l) 55 a 59 años</x:v>
      </x:c>
      <x:c r="E3271" s="1" t="n">
        <x:v>14896</x:v>
      </x:c>
    </x:row>
    <x:row r="3272">
      <x:c r="A3272" t="str">
        <x:v>VENUSTIANO CARRANZA</x:v>
      </x:c>
      <x:c r="B3272" t="str">
        <x:v>Venustiano Carranza</x:v>
      </x:c>
      <x:c r="C3272" t="str">
        <x:v>Mujer</x:v>
      </x:c>
      <x:c r="D3272" t="str">
        <x:v>m) 60 a 64 años</x:v>
      </x:c>
      <x:c r="E3272" s="1" t="n">
        <x:v>13793</x:v>
      </x:c>
    </x:row>
    <x:row r="3273">
      <x:c r="A3273" t="str">
        <x:v>VENUSTIANO CARRANZA</x:v>
      </x:c>
      <x:c r="B3273" t="str">
        <x:v>Venustiano Carranza</x:v>
      </x:c>
      <x:c r="C3273" t="str">
        <x:v>Mujer</x:v>
      </x:c>
      <x:c r="D3273" t="str">
        <x:v>n) 65 a 69 años</x:v>
      </x:c>
      <x:c r="E3273" s="1" t="n">
        <x:v>10332</x:v>
      </x:c>
    </x:row>
    <x:row r="3274">
      <x:c r="A3274" t="str">
        <x:v>VENUSTIANO CARRANZA</x:v>
      </x:c>
      <x:c r="B3274" t="str">
        <x:v>Venustiano Carranza</x:v>
      </x:c>
      <x:c r="C3274" t="str">
        <x:v>Mujer</x:v>
      </x:c>
      <x:c r="D3274" t="str">
        <x:v>o) 70 a 74 años</x:v>
      </x:c>
      <x:c r="E3274" s="1" t="n">
        <x:v>8072</x:v>
      </x:c>
    </x:row>
    <x:row r="3275">
      <x:c r="A3275" t="str">
        <x:v>VENUSTIANO CARRANZA</x:v>
      </x:c>
      <x:c r="B3275" t="str">
        <x:v>Venustiano Carranza</x:v>
      </x:c>
      <x:c r="C3275" t="str">
        <x:v>Mujer</x:v>
      </x:c>
      <x:c r="D3275" t="str">
        <x:v>p) 75 a 79 años</x:v>
      </x:c>
      <x:c r="E3275" s="1" t="n">
        <x:v>5465</x:v>
      </x:c>
    </x:row>
    <x:row r="3276">
      <x:c r="A3276" t="str">
        <x:v>VENUSTIANO CARRANZA</x:v>
      </x:c>
      <x:c r="B3276" t="str">
        <x:v>Venustiano Carranza</x:v>
      </x:c>
      <x:c r="C3276" t="str">
        <x:v>Mujer</x:v>
      </x:c>
      <x:c r="D3276" t="str">
        <x:v>q) 80 a 84 años</x:v>
      </x:c>
      <x:c r="E3276" s="1" t="n">
        <x:v>4184</x:v>
      </x:c>
    </x:row>
    <x:row r="3277">
      <x:c r="A3277" t="str">
        <x:v>VENUSTIANO CARRANZA</x:v>
      </x:c>
      <x:c r="B3277" t="str">
        <x:v>Venustiano Carranza</x:v>
      </x:c>
      <x:c r="C3277" t="str">
        <x:v>Mujer</x:v>
      </x:c>
      <x:c r="D3277" t="str">
        <x:v>r) 85 años y más</x:v>
      </x:c>
      <x:c r="E3277" s="1" t="n">
        <x:v>4101</x:v>
      </x:c>
    </x:row>
  </x:sheetData>
  <x:pageMargins left="0.7" right="0.7" top="0.75" bottom="0.75" header="0.3" footer="0.3"/>
  <x:tableParts count="1">
    <x:tablePart xmlns:r="http://schemas.openxmlformats.org/officeDocument/2006/relationships" r:id="R22fee2ffc8524c6c"/>
  </x:tableParts>
</x:worksheet>
</file>

<file path=xl/worksheets/sheet5.xml><?xml version="1.0" encoding="utf-8"?>
<x:worksheet xmlns:x="http://schemas.openxmlformats.org/spreadsheetml/2006/main">
  <x:sheetPr>
    <x:tabColor rgb="FF7A8793"/>
  </x:sheetPr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3" hidden="0" customWidth="1"/>
    <x:col min="4" max="4" width="47" hidden="0" customWidth="1"/>
    <x:col min="5" max="5" width="14" hidden="0" customWidth="1"/>
    <x:col min="6" max="6" width="18" hidden="0" customWidth="1"/>
    <x:col min="7" max="7" width="38" hidden="0" customWidth="1"/>
  </x:cols>
  <x:sheetData>
    <x:row r="1">
      <x:c r="A1" s="4"/>
      <x:c r="B1" s="4"/>
      <x:c r="C1" s="4"/>
      <x:c r="D1" s="4"/>
      <x:c r="E1" s="4"/>
      <x:c r="F1" s="4"/>
      <x:c r="G1" s="4"/>
    </x:row>
    <x:row r="2">
      <x:c r="A2" s="74" t="str">
        <x:v>Fuentes, método y límites del análisis</x:v>
      </x:c>
      <x:c r="B2" s="4"/>
      <x:c r="C2" s="4"/>
      <x:c r="D2" s="4"/>
      <x:c r="E2" s="4"/>
      <x:c r="F2" s="4"/>
      <x:c r="G2" s="4"/>
    </x:row>
    <x:row r="3">
      <x:c r="A3" s="7" t="str">
        <x:v>El archivo distingue resultados observados, estimaciones por prorrateo y cálculos que todavía no son posibles.</x:v>
      </x:c>
      <x:c r="B3" s="4"/>
      <x:c r="C3" s="4"/>
      <x:c r="D3" s="4"/>
      <x:c r="E3" s="4"/>
      <x:c r="F3" s="4"/>
      <x:c r="G3" s="4"/>
    </x:row>
    <x:row r="4">
      <x:c r="A4" s="75"/>
      <x:c r="B4" s="75"/>
      <x:c r="C4" s="75"/>
      <x:c r="D4" s="75"/>
      <x:c r="E4" s="75"/>
      <x:c r="F4" s="75"/>
      <x:c r="G4" s="75"/>
      <x:c r="H4" s="8"/>
    </x:row>
    <x:row r="5">
      <x:c r="A5" s="4"/>
      <x:c r="B5" s="4"/>
      <x:c r="C5" s="4"/>
      <x:c r="D5" s="4"/>
      <x:c r="E5" s="4"/>
      <x:c r="F5" s="4"/>
      <x:c r="G5" s="4"/>
    </x:row>
    <x:row r="6">
      <x:c r="A6" s="45" t="str">
        <x:v>Elemento</x:v>
      </x:c>
      <x:c r="B6" s="45" t="str">
        <x:v>Criterio aplicado</x:v>
      </x:c>
      <x:c r="C6" s="4"/>
      <x:c r="D6" s="114" t="str">
        <x:v>Fuente</x:v>
      </x:c>
      <x:c r="E6" s="114" t="str">
        <x:v>Registros</x:v>
      </x:c>
      <x:c r="F6" s="114" t="str">
        <x:v>Suma de población</x:v>
      </x:c>
      <x:c r="G6" s="114" t="str">
        <x:v>Uso</x:v>
      </x:c>
    </x:row>
    <x:row r="7" ht="38" customHeight="1">
      <x:c r="A7" s="107" t="str">
        <x:v>Periodo observado</x:v>
      </x:c>
      <x:c r="B7" s="121" t="str">
        <x:v>2020, conforme a la identificación proporcionada por la usuaria.</x:v>
      </x:c>
      <x:c r="C7" s="4"/>
      <x:c r="D7" s="122" t="str">
        <x:v>715dfe06-d8cf-4f42-bc83-e2e99f5f5030(1).csv</x:v>
      </x:c>
      <x:c r="E7" s="123" t="n">
        <x:v>576</x:v>
      </x:c>
      <x:c r="F7" s="123" t="n">
        <x:f>SUM('Base alcaldía'!D2:D577)</x:f>
        <x:v>9200318</x:v>
      </x:c>
      <x:c r="G7" s="122" t="str">
        <x:v>Base principal para CDMX y alcaldías</x:v>
      </x:c>
    </x:row>
    <x:row r="8" ht="38" customHeight="1">
      <x:c r="A8" s="109" t="str">
        <x:v>Crecimiento porcentual</x:v>
      </x:c>
      <x:c r="B8" s="124" t="str">
        <x:v>No disponible. Se necesita al menos otro año comparable. Fórmula: (Población final - Población inicial) / Población inicial.</x:v>
      </x:c>
      <x:c r="C8" s="4"/>
      <x:c r="D8" s="125" t="str">
        <x:v>ed0a7cd3-2ed7-4cc6-b318-10471a0796f6(1).csv</x:v>
      </x:c>
      <x:c r="E8" s="126" t="n">
        <x:v>3276</x:v>
      </x:c>
      <x:c r="F8" s="126" t="n">
        <x:f>SUM('Base localidad'!E2:E3277)</x:f>
        <x:v>9163177</x:v>
      </x:c>
      <x:c r="G8" s="125" t="str">
        <x:v>Base complementaria por localidad</x:v>
      </x:c>
    </x:row>
    <x:row r="9" ht="38" customHeight="1">
      <x:c r="A9" s="109" t="str">
        <x:v>Requisito del proyecto</x:v>
      </x:c>
      <x:c r="B9" s="124" t="str">
        <x:v>Usar al menos tres momentos comparables, medir tendencia y reportar incertidumbre. Los archivos actuales aportan un solo momento.</x:v>
      </x:c>
      <x:c r="C9" s="4"/>
      <x:c r="D9" s="127" t="str">
        <x:v>ac90576c-3d74-4582-83d3-e3a4db8667b1(1).xlsx</x:v>
      </x:c>
      <x:c r="E9" s="128" t="n">
        <x:v>19</x:v>
      </x:c>
      <x:c r="F9" s="127"/>
      <x:c r="G9" s="127" t="str">
        <x:v>Diccionario de variables; no contiene observaciones</x:v>
      </x:c>
    </x:row>
    <x:row r="10" ht="38" customHeight="1">
      <x:c r="A10" s="109" t="str">
        <x:v>Grupos originales</x:v>
      </x:c>
      <x:c r="B10" s="124" t="str">
        <x:v>Rangos de cinco años: 0-4, 5-9, 10-14, 15-19, hasta 85 y más.</x:v>
      </x:c>
      <x:c r="C10" s="4"/>
      <x:c r="D10" s="4"/>
      <x:c r="E10" s="4"/>
      <x:c r="F10" s="4"/>
      <x:c r="G10" s="4"/>
    </x:row>
    <x:row r="11" ht="38" customHeight="1">
      <x:c r="A11" s="109" t="str">
        <x:v>Etapas de vida del estudio</x:v>
      </x:c>
      <x:c r="B11" s="124" t="str">
        <x:v>0-17, 18-29, 30-59 y 60 años y más. Son definiciones operativas del proyecto y cubren el total sin traslapes.</x:v>
      </x:c>
      <x:c r="C11" s="4"/>
      <x:c r="D11" s="4"/>
      <x:c r="E11" s="4"/>
      <x:c r="F11" s="4"/>
      <x:c r="G11" s="4"/>
    </x:row>
    <x:row r="12" ht="38" customHeight="1">
      <x:c r="A12" s="109" t="str">
        <x:v>Nivel geográfico real</x:v>
      </x:c>
      <x:c r="B12" s="124" t="str">
        <x:v>Los CSV permiten alcaldía y localidad. No contienen la clave AGEB.</x:v>
      </x:c>
      <x:c r="C12" s="4"/>
      <x:c r="D12" s="4"/>
      <x:c r="E12" s="4"/>
      <x:c r="F12" s="4"/>
      <x:c r="G12" s="4"/>
    </x:row>
    <x:row r="13" ht="38" customHeight="1">
      <x:c r="A13" s="111" t="str">
        <x:v>Dato AGEB adjunto</x:v>
      </x:c>
      <x:c r="B13" s="129" t="str">
        <x:v>El XLSX contiene un diccionario con la variable ageb, pero no contiene filas de población por AGEB.</x:v>
      </x:c>
      <x:c r="C13" s="4"/>
      <x:c r="D13" s="4"/>
      <x:c r="E13" s="4"/>
      <x:c r="F13" s="4"/>
      <x:c r="G13" s="4"/>
    </x:row>
    <x:row r="15">
      <x:c r="A15" s="305" t="str">
        <x:v>Ponderaciones para toda la población</x:v>
      </x:c>
      <x:c r="B15" s="305"/>
    </x:row>
    <x:row r="16" ht="34" customHeight="1">
      <x:c r="A16" s="309" t="str">
        <x:v>Infancias: 0-17</x:v>
      </x:c>
      <x:c r="B16" s="310" t="str">
        <x:v>0-4 + 5-9 + 10-14 + 3/5 de 15-19. Estimación por el corte en 18 años.</x:v>
      </x:c>
    </x:row>
    <x:row r="17" ht="34" customHeight="1">
      <x:c r="A17" s="311" t="str">
        <x:v>Adultos jóvenes: 18-29</x:v>
      </x:c>
      <x:c r="B17" s="312" t="str">
        <x:v>2/5 de 15-19 + 20-24 + 25-29. Estimación por el corte en 18 años.</x:v>
      </x:c>
    </x:row>
    <x:row r="18" ht="34" customHeight="1">
      <x:c r="A18" s="311" t="str">
        <x:v>Adultos de edad media: 30-59</x:v>
      </x:c>
      <x:c r="B18" s="312" t="str">
        <x:v>Suma completa de 30-34, 35-39, 40-44, 45-49, 50-54 y 55-59.</x:v>
      </x:c>
    </x:row>
    <x:row r="19" ht="34" customHeight="1">
      <x:c r="A19" s="311" t="str">
        <x:v>Adultos mayores: 60+</x:v>
      </x:c>
      <x:c r="B19" s="312" t="str">
        <x:v>Suma completa de 60-64, 65-69, 70-74, 75-79, 80-84 y 85 años y más.</x:v>
      </x:c>
    </x:row>
    <x:row r="20" ht="34" customHeight="1">
      <x:c r="A20" s="311" t="str">
        <x:v>Referencia adicional: 65+</x:v>
      </x:c>
      <x:c r="B20" s="312" t="str">
        <x:v>Suma de 65-69 en adelante. Se incluye para proyectos que usan 65 años como umbral.</x:v>
      </x:c>
    </x:row>
    <x:row r="21" ht="34" customHeight="1">
      <x:c r="A21" s="313" t="str">
        <x:v>Supuesto</x:v>
      </x:c>
      <x:c r="B21" s="314" t="str">
        <x:v>Cada edad representa 1/5 de su rango quinquenal cuando es necesario dividir 15-19. Es una aproximación.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7B0B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7" hidden="0" customWidth="1"/>
    <x:col min="3" max="3" width="40" hidden="0" customWidth="1"/>
    <x:col min="4" max="4" width="88" hidden="0" customWidth="1"/>
    <x:col min="5" max="5" width="16" hidden="0" customWidth="1"/>
  </x:cols>
  <x:sheetData>
    <x:row r="1">
      <x:c r="A1" s="4"/>
      <x:c r="B1" s="4"/>
      <x:c r="C1" s="4"/>
      <x:c r="D1" s="4"/>
      <x:c r="E1" s="4"/>
    </x:row>
    <x:row r="2">
      <x:c r="A2" s="74" t="str">
        <x:v>Diccionario de variables proporcionado</x:v>
      </x:c>
      <x:c r="B2" s="4"/>
      <x:c r="C2" s="4"/>
      <x:c r="D2" s="4"/>
      <x:c r="E2" s="4"/>
    </x:row>
    <x:row r="3">
      <x:c r="A3" s="7" t="str">
        <x:v>Fuente: ac90576c-3d74-4582-83d3-e3a4db8667b1(1).xlsx. Describe variables de nivel AGEB, pero el archivo no contiene observaciones territoriales.</x:v>
      </x:c>
      <x:c r="B3" s="4"/>
      <x:c r="C3" s="4"/>
      <x:c r="D3" s="4"/>
      <x:c r="E3" s="4"/>
    </x:row>
    <x:row r="4">
      <x:c r="A4" s="75"/>
      <x:c r="B4" s="75"/>
      <x:c r="C4" s="75"/>
      <x:c r="D4" s="75"/>
      <x:c r="E4" s="75"/>
    </x:row>
    <x:row r="5">
      <x:c r="A5" s="4"/>
      <x:c r="B5" s="4"/>
      <x:c r="C5" s="4"/>
      <x:c r="D5" s="4"/>
      <x:c r="E5" s="4"/>
    </x:row>
    <x:row r="6">
      <x:c r="A6" s="4" t="str">
        <x:v>Archivo</x:v>
      </x:c>
      <x:c r="B6" s="4" t="str">
        <x:v>Nombre</x:v>
      </x:c>
      <x:c r="C6" s="4" t="str">
        <x:v>Etiqueta</x:v>
      </x:c>
      <x:c r="D6" s="4" t="str">
        <x:v>Descripción</x:v>
      </x:c>
      <x:c r="E6" s="4" t="str">
        <x:v>Tipo</x:v>
      </x:c>
    </x:row>
    <x:row r="7">
      <x:c r="A7" s="4" t="str">
        <x:v>Características demográficas (Nivel AGEB)</x:v>
      </x:c>
      <x:c r="B7" s="4" t="str">
        <x:v>alc</x:v>
      </x:c>
      <x:c r="C7" s="4" t="str">
        <x:v>Alcaldía</x:v>
      </x:c>
      <x:c r="D7" s="130" t="str">
        <x:v>Alcaldía</x:v>
      </x:c>
      <x:c r="E7" s="4" t="str">
        <x:v>Alfanumérica</x:v>
      </x:c>
    </x:row>
    <x:row r="8">
      <x:c r="A8" s="4" t="str">
        <x:v>Características demográficas (Nivel AGEB)</x:v>
      </x:c>
      <x:c r="B8" s="4" t="str">
        <x:v>loc</x:v>
      </x:c>
      <x:c r="C8" s="4" t="str">
        <x:v>Localidad</x:v>
      </x:c>
      <x:c r="D8" s="130" t="str">
        <x:v>Localidad amanzanada</x:v>
      </x:c>
      <x:c r="E8" s="4" t="str">
        <x:v>Alfanumérica</x:v>
      </x:c>
    </x:row>
    <x:row r="9">
      <x:c r="A9" s="4" t="str">
        <x:v>Características demográficas (Nivel AGEB)</x:v>
      </x:c>
      <x:c r="B9" s="4" t="str">
        <x:v>amb_loc</x:v>
      </x:c>
      <x:c r="C9" s="4" t="str">
        <x:v>Tipo de localidad</x:v>
      </x:c>
      <x:c r="D9" s="130" t="str">
        <x:v>Ámbito de la localidad: Rural o Urbana</x:v>
      </x:c>
      <x:c r="E9" s="4" t="str">
        <x:v>Alfanumérica</x:v>
      </x:c>
    </x:row>
    <x:row r="10">
      <x:c r="A10" s="4" t="str">
        <x:v>Características demográficas (Nivel AGEB)</x:v>
      </x:c>
      <x:c r="B10" s="4" t="str">
        <x:v>ageb</x:v>
      </x:c>
      <x:c r="C10" s="4" t="str">
        <x:v>Clave AGEB</x:v>
      </x:c>
      <x:c r="D10" s="130" t="str">
        <x:v>Clave de AGEB</x:v>
      </x:c>
      <x:c r="E10" s="4" t="str">
        <x:v>Alfanumérica</x:v>
      </x:c>
    </x:row>
    <x:row r="11">
      <x:c r="A11" s="4" t="str">
        <x:v>Características demográficas (Nivel AGEB)</x:v>
      </x:c>
      <x:c r="B11" s="4" t="str">
        <x:v>pob</x:v>
      </x:c>
      <x:c r="C11" s="4" t="str">
        <x:v>Población</x:v>
      </x:c>
      <x:c r="D11" s="130" t="str">
        <x:v>Total de personas que residen habitualmente en el país, la entidad federativa, el municipio o la demarcación territorial y la localidad. Incluye la estimación del número de personas en viviendas particulares sin información de ocupantes. Incluye a la población que no especificó su edad.</x:v>
      </x:c>
      <x:c r="E11" s="4" t="str">
        <x:v>Numérica</x:v>
      </x:c>
    </x:row>
    <x:row r="12">
      <x:c r="A12" s="4" t="str">
        <x:v>Características demográficas (Nivel AGEB)</x:v>
      </x:c>
      <x:c r="B12" s="4" t="str">
        <x:v>p_3ymas</x:v>
      </x:c>
      <x:c r="C12" s="4" t="str">
        <x:v>Población 3 años y más</x:v>
      </x:c>
      <x:c r="D12" s="130" t="str">
        <x:v>Hombres de 3 a 130 años de edad.</x:v>
      </x:c>
      <x:c r="E12" s="4" t="str">
        <x:v>Numérica</x:v>
      </x:c>
    </x:row>
    <x:row r="13">
      <x:c r="A13" s="4" t="str">
        <x:v>Características demográficas (Nivel AGEB)</x:v>
      </x:c>
      <x:c r="B13" s="4" t="str">
        <x:v>p_12ymas</x:v>
      </x:c>
      <x:c r="C13" s="4" t="str">
        <x:v>Población 12 años y más</x:v>
      </x:c>
      <x:c r="D13" s="130" t="str">
        <x:v>Personas de 12 a 130 años de edad.</x:v>
      </x:c>
      <x:c r="E13" s="4" t="str">
        <x:v>Numérica</x:v>
      </x:c>
    </x:row>
    <x:row r="14">
      <x:c r="A14" s="4" t="str">
        <x:v>Características demográficas (Nivel AGEB)</x:v>
      </x:c>
      <x:c r="B14" s="4" t="str">
        <x:v>p_nacoe</x:v>
      </x:c>
      <x:c r="C14" s="4" t="str">
        <x:v>Población nacida en otra entidad</x:v>
      </x:c>
      <x:c r="D14" s="130" t="str">
        <x:v>Personas nacidas en otra entidad federativa.</x:v>
      </x:c>
      <x:c r="E14" s="4" t="str">
        <x:v>Numérica</x:v>
      </x:c>
    </x:row>
    <x:row r="15">
      <x:c r="A15" s="4" t="str">
        <x:v>Características demográficas (Nivel AGEB)</x:v>
      </x:c>
      <x:c r="B15" s="4" t="str">
        <x:v>p_vivoe</x:v>
      </x:c>
      <x:c r="C15" s="4" t="str">
        <x:v>Población que vivía en otra entidad</x:v>
      </x:c>
      <x:c r="D15" s="130" t="str">
        <x:v>Personas de 5 a 130 años de edad que en el 2015 residían en otra entidad federativa.</x:v>
      </x:c>
      <x:c r="E15" s="4" t="str">
        <x:v>Numérica</x:v>
      </x:c>
    </x:row>
    <x:row r="16">
      <x:c r="A16" s="4" t="str">
        <x:v>Características demográficas (Nivel AGEB)</x:v>
      </x:c>
      <x:c r="B16" s="4" t="str">
        <x:v>p_hli</x:v>
      </x:c>
      <x:c r="C16" s="4" t="str">
        <x:v>Población que habla lengua indígena</x:v>
      </x:c>
      <x:c r="D16" s="130" t="str">
        <x:v>Personas de 3 a 130 años de edad que hablan alguna lengua indígena.</x:v>
      </x:c>
      <x:c r="E16" s="4" t="str">
        <x:v>Numérica</x:v>
      </x:c>
    </x:row>
    <x:row r="17">
      <x:c r="A17" s="4" t="str">
        <x:v>Características demográficas (Nivel AGEB)</x:v>
      </x:c>
      <x:c r="B17" s="4" t="str">
        <x:v>p_hli_nhe</x:v>
      </x:c>
      <x:c r="C17" s="4" t="str">
        <x:v>Población que habla lengua indígena y no habla español</x:v>
      </x:c>
      <x:c r="D17" s="130" t="str">
        <x:v>Personas de 3 a 130 años de edad que hablan alguna lengua indígena y además no hablan español.</x:v>
      </x:c>
      <x:c r="E17" s="4" t="str">
        <x:v>Numérica</x:v>
      </x:c>
    </x:row>
    <x:row r="18">
      <x:c r="A18" s="4" t="str">
        <x:v>Características demográficas (Nivel AGEB)</x:v>
      </x:c>
      <x:c r="B18" s="4" t="str">
        <x:v>p_hli_he</x:v>
      </x:c>
      <x:c r="C18" s="4" t="str">
        <x:v>Población que habla lengua indígena y habla español</x:v>
      </x:c>
      <x:c r="D18" s="130" t="str">
        <x:v>Personas de 3 a 130 años de edad que hablan alguna lengua indígena y además hablan español.</x:v>
      </x:c>
      <x:c r="E18" s="4" t="str">
        <x:v>Numérica</x:v>
      </x:c>
    </x:row>
    <x:row r="19">
      <x:c r="A19" s="4" t="str">
        <x:v>Características demográficas (Nivel AGEB)</x:v>
      </x:c>
      <x:c r="B19" s="4" t="str">
        <x:v>p_afromex</x:v>
      </x:c>
      <x:c r="C19" s="4" t="str">
        <x:v>Población afromexicana</x:v>
      </x:c>
      <x:c r="D19" s="130" t="str">
        <x:v>Personas que se consideran afromexicanos o afrodescendientes.</x:v>
      </x:c>
      <x:c r="E19" s="4" t="str">
        <x:v>Numérica</x:v>
      </x:c>
    </x:row>
    <x:row r="20">
      <x:c r="A20" s="4" t="str">
        <x:v>Características demográficas (Nivel AGEB)</x:v>
      </x:c>
      <x:c r="B20" s="4" t="str">
        <x:v>t_nacoe</x:v>
      </x:c>
      <x:c r="C20" s="4" t="str">
        <x:v>Porcentaje de población nacida en otra entidad</x:v>
      </x:c>
      <x:c r="D20" s="130" t="str">
        <x:v>Porcentaje de personas nacidas en otra entidad federativa.</x:v>
      </x:c>
      <x:c r="E20" s="4" t="str">
        <x:v>Numérica</x:v>
      </x:c>
    </x:row>
    <x:row r="21">
      <x:c r="A21" s="4" t="str">
        <x:v>Características demográficas (Nivel AGEB)</x:v>
      </x:c>
      <x:c r="B21" s="4" t="str">
        <x:v>t_vivoe</x:v>
      </x:c>
      <x:c r="C21" s="4" t="str">
        <x:v>Porcentaje de población que vivía en otra entidad</x:v>
      </x:c>
      <x:c r="D21" s="130" t="str">
        <x:v>Porcentaje de personas de 5 a 130 años de edad que en el 2015 residían en otra entidad federativa.</x:v>
      </x:c>
      <x:c r="E21" s="4" t="str">
        <x:v>Numérica</x:v>
      </x:c>
    </x:row>
    <x:row r="22">
      <x:c r="A22" s="4" t="str">
        <x:v>Características demográficas (Nivel AGEB)</x:v>
      </x:c>
      <x:c r="B22" s="4" t="str">
        <x:v>t_hli</x:v>
      </x:c>
      <x:c r="C22" s="4" t="str">
        <x:v>Porcentaje de población que habla lengua indígena</x:v>
      </x:c>
      <x:c r="D22" s="130" t="str">
        <x:v>Porcentaje de personas de 3 a 130 años de edad que hablan alguna lengua indígena.</x:v>
      </x:c>
      <x:c r="E22" s="4" t="str">
        <x:v>Numérica</x:v>
      </x:c>
    </x:row>
    <x:row r="23">
      <x:c r="A23" s="4" t="str">
        <x:v>Características demográficas (Nivel AGEB)</x:v>
      </x:c>
      <x:c r="B23" s="4" t="str">
        <x:v>t_hli_nhe</x:v>
      </x:c>
      <x:c r="C23" s="4" t="str">
        <x:v>Porcentaje de población que habla lengua indígena y no habla español</x:v>
      </x:c>
      <x:c r="D23" s="130" t="str">
        <x:v>Porcentaje de personas de 3 a 130 años de edad que hablan alguna lengua indígena.</x:v>
      </x:c>
      <x:c r="E23" s="4" t="str">
        <x:v>Numérica</x:v>
      </x:c>
    </x:row>
    <x:row r="24">
      <x:c r="A24" s="4" t="str">
        <x:v>Características demográficas (Nivel AGEB)</x:v>
      </x:c>
      <x:c r="B24" s="4" t="str">
        <x:v>t_hli_he</x:v>
      </x:c>
      <x:c r="C24" s="4" t="str">
        <x:v>Porcentaje de población que habla lengua indígena y habla español</x:v>
      </x:c>
      <x:c r="D24" s="130" t="str">
        <x:v>Porcentaje de personas de 3 a 130 años de edad que hablan alguna lengua indígena y además hablan español.</x:v>
      </x:c>
      <x:c r="E24" s="4" t="str">
        <x:v>Numérica</x:v>
      </x:c>
    </x:row>
    <x:row r="25">
      <x:c r="A25" s="4" t="str">
        <x:v>Características demográficas (Nivel AGEB)</x:v>
      </x:c>
      <x:c r="B25" s="4" t="str">
        <x:v>t_afromex</x:v>
      </x:c>
      <x:c r="C25" s="4" t="str">
        <x:v>Porcentaje de población afromexicana</x:v>
      </x:c>
      <x:c r="D25" s="130" t="str">
        <x:v>Porcentaje de personas que se consideran afromexicanos o afrodescendientes.</x:v>
      </x:c>
      <x:c r="E25" s="4" t="str">
        <x:v>Numérica</x:v>
      </x:c>
    </x:row>
  </x:sheetData>
  <x:pageMargins left="0.7" right="0.7" top="0.75" bottom="0.75" header="0.3" footer="0.3"/>
  <x:tableParts count="1">
    <x:tablePart xmlns:r="http://schemas.openxmlformats.org/officeDocument/2006/relationships" r:id="R9dcd785453024578"/>
  </x:tableParts>
</x:worksheet>
</file>